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Calculation" sheetId="3" state="visible" r:id="rId5"/>
    <sheet name="Reference" sheetId="4" state="visible" r:id="rId6"/>
    <sheet name="Sources" sheetId="5" state="visible" r:id="rId7"/>
    <sheet name="Period review" sheetId="6" state="visible" r:id="rId8"/>
  </sheets>
  <definedNames>
    <definedName function="false" hidden="true" localSheetId="2" name="_xlnm._FilterDatabase" vbProcedure="false">Calculation!$A$1:$AA$16</definedName>
    <definedName function="false" hidden="true" localSheetId="5" name="_xlnm._FilterDatabase" vbProcedure="false">'Period review'!$A$1:$Y$7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<sst xmlns="http://schemas.openxmlformats.org/spreadsheetml/2006/main" count="213" uniqueCount="140">
  <si>
    <t xml:space="preserve">Nigeria 2026 payroll calculation review</t>
  </si>
  <si>
    <t xml:space="preserve">Status</t>
  </si>
  <si>
    <t xml:space="preserve">Engineering reference cases — NOT accountant-approved</t>
  </si>
  <si>
    <t xml:space="preserve">Scope</t>
  </si>
  <si>
    <t xml:space="preserve">Recurring monthly earnings plus reviewed period adjustments; Nigeria 2026 only.</t>
  </si>
  <si>
    <t xml:space="preserve">Instructions</t>
  </si>
  <si>
    <t xml:space="preserve">Change blue inputs on Calculation. Review assumptions and evidence. Reconcile every case with your accountant.</t>
  </si>
  <si>
    <t xml:space="preserve">Rounding</t>
  </si>
  <si>
    <t xml:space="preserve">Positive half-up to two decimal naira places (integer kobo). Monthly PAYE rounds the unrounded annual band tax divided by 12.</t>
  </si>
  <si>
    <t xml:space="preserve">Pension</t>
  </si>
  <si>
    <t xml:space="preserve">8% employee / 10% employer on basic + housing + transport; confirm contractual pensionable emoluments and applicability.</t>
  </si>
  <si>
    <t xml:space="preserve">NHF</t>
  </si>
  <si>
    <t xml:space="preserve">Opt-in/applicability per employee. Default 2.5% basic. Official guidance differs on basis; confirm before approving.</t>
  </si>
  <si>
    <t xml:space="preserve">PAYE reliefs</t>
  </si>
  <si>
    <t xml:space="preserve">Pension, NHF, NHIS, declared rent relief (20%, capped 500,000), and approved other eligible annual reliefs.</t>
  </si>
  <si>
    <t xml:space="preserve">Minimum wage</t>
  </si>
  <si>
    <t xml:space="preserve">Monthly gross at or below 70,000 treated as PAYE-exempt; confirm the employee’s legal eligibility.</t>
  </si>
  <si>
    <t xml:space="preserve">Employer levies</t>
  </si>
  <si>
    <t xml:space="preserve">ECS default 1% gross. ITF is disabled until applicability is confirmed; normally 1% annual payroll for eligible employers.</t>
  </si>
  <si>
    <t xml:space="preserve">Period adjustments</t>
  </si>
  <si>
    <t xml:space="preserve">Calendar-day starters, bonuses and one-off deductions. Period review sheet uses supplied reviewed PAYE, not a cumulative tax estimate. NHIS and recurring after-tax deductions are not prorated.</t>
  </si>
  <si>
    <t xml:space="preserve">Not supported</t>
  </si>
  <si>
    <t xml:space="preserve">Automatic cumulative/YTD PAYE, arrears, leaver calculations, unpaid absence, foreign currency or nonresident cases.</t>
  </si>
  <si>
    <t xml:space="preserve">Sources</t>
  </si>
  <si>
    <t xml:space="preserve">See Sources sheet. Tax legislation and accountant signoff control over this workbook.</t>
  </si>
  <si>
    <t xml:space="preserve">Independent expected values</t>
  </si>
  <si>
    <t xml:space="preserve">Reference sheet uses Python Decimal with cumulative thresholds; Calculation uses editable Excel marginal-band formulas.</t>
  </si>
  <si>
    <t xml:space="preserve">Signoff</t>
  </si>
  <si>
    <t xml:space="preserve">Accountant: __________________ Date: __________ Findings: __________________</t>
  </si>
  <si>
    <t xml:space="preserve">Launch target</t>
  </si>
  <si>
    <t xml:space="preserve">Company signup → first approved payroll &lt;=24 hours. This is measured in app analytics; it is not a guarantee.</t>
  </si>
  <si>
    <t xml:space="preserve">Parameter</t>
  </si>
  <si>
    <t xml:space="preserve">Value</t>
  </si>
  <si>
    <t xml:space="preserve">Employee pension</t>
  </si>
  <si>
    <t xml:space="preserve">Employer pension</t>
  </si>
  <si>
    <t xml:space="preserve">NHF rate</t>
  </si>
  <si>
    <t xml:space="preserve">NHF basis</t>
  </si>
  <si>
    <t xml:space="preserve">basic</t>
  </si>
  <si>
    <t xml:space="preserve">Rent relief rate</t>
  </si>
  <si>
    <t xml:space="preserve">Rent relief maximum</t>
  </si>
  <si>
    <t xml:space="preserve">Employer ECS rate</t>
  </si>
  <si>
    <t xml:space="preserve">Employer ITF rate</t>
  </si>
  <si>
    <t xml:space="preserve">Pension basis</t>
  </si>
  <si>
    <t xml:space="preserve">bht</t>
  </si>
  <si>
    <t xml:space="preserve">Case</t>
  </si>
  <si>
    <t xml:space="preserve">Basic</t>
  </si>
  <si>
    <t xml:space="preserve">Housing</t>
  </si>
  <si>
    <t xml:space="preserve">Transport</t>
  </si>
  <si>
    <t xml:space="preserve">Other earnings</t>
  </si>
  <si>
    <t xml:space="preserve">Annual rent</t>
  </si>
  <si>
    <t xml:space="preserve">NHIS monthly</t>
  </si>
  <si>
    <t xml:space="preserve">Other deductions</t>
  </si>
  <si>
    <t xml:space="preserve">Annual other reliefs</t>
  </si>
  <si>
    <t xml:space="preserve">Pension?</t>
  </si>
  <si>
    <t xml:space="preserve">NHF?</t>
  </si>
  <si>
    <t xml:space="preserve">Gross</t>
  </si>
  <si>
    <t xml:space="preserve">Rent relief</t>
  </si>
  <si>
    <t xml:space="preserve">Annual taxable</t>
  </si>
  <si>
    <t xml:space="preserve">Raw annual band tax</t>
  </si>
  <si>
    <t xml:space="preserve">Monthly PAYE</t>
  </si>
  <si>
    <t xml:space="preserve">Total deductions</t>
  </si>
  <si>
    <t xml:space="preserve">Net pay</t>
  </si>
  <si>
    <t xml:space="preserve">Employer ECS</t>
  </si>
  <si>
    <t xml:space="preserve">Employer ITF</t>
  </si>
  <si>
    <t xml:space="preserve">Expected PAYE</t>
  </si>
  <si>
    <t xml:space="preserve">Expected net</t>
  </si>
  <si>
    <t xml:space="preserve">PAYE delta</t>
  </si>
  <si>
    <t xml:space="preserve">Net delta</t>
  </si>
  <si>
    <t xml:space="preserve">No</t>
  </si>
  <si>
    <t xml:space="preserve">Just above minimum wage</t>
  </si>
  <si>
    <t xml:space="preserve">Basic salary with pension</t>
  </si>
  <si>
    <t xml:space="preserve">Yes</t>
  </si>
  <si>
    <t xml:space="preserve">PAYE band: annual 3m</t>
  </si>
  <si>
    <t xml:space="preserve">PAYE band: annual 12m</t>
  </si>
  <si>
    <t xml:space="preserve">PAYE band: around annual 25m</t>
  </si>
  <si>
    <t xml:space="preserve">PAYE band: around annual 50m</t>
  </si>
  <si>
    <t xml:space="preserve">PAYE top band: annual 60m</t>
  </si>
  <si>
    <t xml:space="preserve">Pension NHF and rent relief</t>
  </si>
  <si>
    <t xml:space="preserve">Rent relief cap</t>
  </si>
  <si>
    <t xml:space="preserve">NHIS and other deductions</t>
  </si>
  <si>
    <t xml:space="preserve">Other recurring earnings</t>
  </si>
  <si>
    <t xml:space="preserve">Other eligible annual reliefs</t>
  </si>
  <si>
    <t xml:space="preserve">Kobo and rounding</t>
  </si>
  <si>
    <t xml:space="preserve">Taxable zero after reliefs</t>
  </si>
  <si>
    <t xml:space="preserve">gross</t>
  </si>
  <si>
    <t xml:space="preserve">paye</t>
  </si>
  <si>
    <t xml:space="preserve">pension</t>
  </si>
  <si>
    <t xml:space="preserve">employer_pension</t>
  </si>
  <si>
    <t xml:space="preserve">nhf</t>
  </si>
  <si>
    <t xml:space="preserve">nhis</t>
  </si>
  <si>
    <t xml:space="preserve">total_deductions</t>
  </si>
  <si>
    <t xml:space="preserve">net</t>
  </si>
  <si>
    <t xml:space="preserve">employer_ecs</t>
  </si>
  <si>
    <t xml:space="preserve">employer_itf</t>
  </si>
  <si>
    <t xml:space="preserve">Source</t>
  </si>
  <si>
    <t xml:space="preserve">URL</t>
  </si>
  <si>
    <t xml:space="preserve">Use / review note</t>
  </si>
  <si>
    <t xml:space="preserve">Nigeria Tax Act 2025</t>
  </si>
  <si>
    <t xml:space="preserve">https://www.nrs.gov.ng/uploads/NIGERIA_TAX_ACT_2025_ef6bb812a5.pdf</t>
  </si>
  <si>
    <t xml:space="preserve">2026 bands and eligible deductions; legislation controls.</t>
  </si>
  <si>
    <t xml:space="preserve">NRS legislation index</t>
  </si>
  <si>
    <t xml:space="preserve">https://www.nrs.gov.ng/tax-laws/page</t>
  </si>
  <si>
    <t xml:space="preserve">Official law index.</t>
  </si>
  <si>
    <t xml:space="preserve">Plateau State IRS 2026 calculator</t>
  </si>
  <si>
    <t xml:space="preserve">https://www.psirs.gov.ng/tax-calculator</t>
  </si>
  <si>
    <t xml:space="preserve">Effective date and rent-relief guidance.</t>
  </si>
  <si>
    <t xml:space="preserve">PenCom 2023 FAQ</t>
  </si>
  <si>
    <t xml:space="preserve">https://www.pencom.gov.ng/wp-content/uploads/2023/09/FREQUENTLY-ASKED-QUESTIONS-2023.pdf</t>
  </si>
  <si>
    <t xml:space="preserve">Monthly emoluments; 8% employee / 10% employer minimum.</t>
  </si>
  <si>
    <t xml:space="preserve">FMBN current FAQ</t>
  </si>
  <si>
    <t xml:space="preserve">https://fmbn.gov.ng/products/nhf-scheme/faqs</t>
  </si>
  <si>
    <t xml:space="preserve">Current wording refers to gross income. Confirm NHF base.</t>
  </si>
  <si>
    <t xml:space="preserve">FMBN service charter</t>
  </si>
  <si>
    <t xml:space="preserve">https://www.fmbn.gov.ng/documents/FMBN_SERVICOM_CHARTER.pdf</t>
  </si>
  <si>
    <t xml:space="preserve">Earlier wording refers to basic salary; confirm applicable guidance.</t>
  </si>
  <si>
    <t xml:space="preserve">NSITF services</t>
  </si>
  <si>
    <t xml:space="preserve">https://nsitf.gov.ng/services</t>
  </si>
  <si>
    <t xml:space="preserve">Employer ECS 1% total monthly payroll.</t>
  </si>
  <si>
    <t xml:space="preserve">ITF</t>
  </si>
  <si>
    <t xml:space="preserve">https://www.itf.gov.ng/</t>
  </si>
  <si>
    <t xml:space="preserve">Eligibility and 1% annual payroll contribution.</t>
  </si>
  <si>
    <t xml:space="preserve">Calendar days</t>
  </si>
  <si>
    <t xml:space="preserve">Paid days</t>
  </si>
  <si>
    <t xml:space="preserve">Basic monthly</t>
  </si>
  <si>
    <t xml:space="preserve">Housing monthly</t>
  </si>
  <si>
    <t xml:space="preserve">Transport monthly</t>
  </si>
  <si>
    <t xml:space="preserve">Other monthly</t>
  </si>
  <si>
    <t xml:space="preserve">Bonus</t>
  </si>
  <si>
    <t xml:space="preserve">Pensionable bonus BHT</t>
  </si>
  <si>
    <t xml:space="preserve">Reviewed PAYE INPUT</t>
  </si>
  <si>
    <t xml:space="preserve">NHIS fixed</t>
  </si>
  <si>
    <t xml:space="preserve">Recurring deductions fixed</t>
  </si>
  <si>
    <t xml:space="preserve">One-off deduction</t>
  </si>
  <si>
    <t xml:space="preserve">Net</t>
  </si>
  <si>
    <t xml:space="preserve">October starter and bonus</t>
  </si>
  <si>
    <t xml:space="preserve">Starter pensionable bonus NHF</t>
  </si>
  <si>
    <t xml:space="preserve">February half month</t>
  </si>
  <si>
    <t xml:space="preserve">Full month pensionable bonus</t>
  </si>
  <si>
    <t xml:space="preserve">Partial minimum wage explicit zero</t>
  </si>
  <si>
    <t xml:space="preserve">Component rounding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</si>
</sst>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.00"/>
    <numFmt numFmtId="167" formatCode="#,##0.00;[RED]\(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1565C0"/>
      <name val="Cambria"/>
      <family val="0"/>
      <charset val="1"/>
    </font>
    <font>
      <sz val="12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45B45"/>
        <bgColor rgb="FF003366"/>
      </patternFill>
    </fill>
    <fill>
      <patternFill patternType="solid">
        <fgColor rgb="FFEDF5F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245B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F5FF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F5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5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nrs.gov.ng/uploads/NIGERIA_TAX_ACT_2025_ef6bb812a5.pdf" TargetMode="External"/><Relationship Id="rId2" Type="http://schemas.openxmlformats.org/officeDocument/2006/relationships/hyperlink" Target="https://www.nrs.gov.ng/tax-laws/page" TargetMode="External"/><Relationship Id="rId3" Type="http://schemas.openxmlformats.org/officeDocument/2006/relationships/hyperlink" Target="https://www.psirs.gov.ng/tax-calculator" TargetMode="External"/><Relationship Id="rId4" Type="http://schemas.openxmlformats.org/officeDocument/2006/relationships/hyperlink" Target="https://www.pencom.gov.ng/wp-content/uploads/2023/09/FREQUENTLY-ASKED-QUESTIONS-2023.pdf" TargetMode="External"/><Relationship Id="rId5" Type="http://schemas.openxmlformats.org/officeDocument/2006/relationships/hyperlink" Target="https://fmbn.gov.ng/products/nhf-scheme/faqs" TargetMode="External"/><Relationship Id="rId6" Type="http://schemas.openxmlformats.org/officeDocument/2006/relationships/hyperlink" Target="https://www.fmbn.gov.ng/documents/FMBN_SERVICOM_CHARTER.pdf" TargetMode="External"/><Relationship Id="rId7" Type="http://schemas.openxmlformats.org/officeDocument/2006/relationships/hyperlink" Target="https://nsitf.gov.ng/services" TargetMode="External"/><Relationship Id="rId8" Type="http://schemas.openxmlformats.org/officeDocument/2006/relationships/hyperlink" Target="https://www.itf.gov.ng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2"/>
  </cols>
  <sheetData>
    <row r="1" customFormat="false" ht="30" hidden="false" customHeight="true" outlineLevel="0" collapsed="false">
      <c r="A1" s="1" t="s">
        <v>0</v>
      </c>
      <c r="B1" s="1"/>
    </row>
    <row r="2" customFormat="false" ht="39.75" hidden="false" customHeight="true" outlineLevel="0" collapsed="false">
      <c r="A2" s="2" t="s">
        <v>1</v>
      </c>
      <c r="B2" s="2" t="s">
        <v>2</v>
      </c>
    </row>
    <row r="3" customFormat="false" ht="39.75" hidden="false" customHeight="true" outlineLevel="0" collapsed="false">
      <c r="A3" s="2" t="s">
        <v>3</v>
      </c>
      <c r="B3" s="2" t="s">
        <v>4</v>
      </c>
    </row>
    <row r="4" customFormat="false" ht="39.75" hidden="false" customHeight="true" outlineLevel="0" collapsed="false">
      <c r="A4" s="2" t="s">
        <v>5</v>
      </c>
      <c r="B4" s="2" t="s">
        <v>6</v>
      </c>
    </row>
    <row r="5" customFormat="false" ht="39.75" hidden="false" customHeight="true" outlineLevel="0" collapsed="false">
      <c r="A5" s="2" t="s">
        <v>7</v>
      </c>
      <c r="B5" s="2" t="s">
        <v>8</v>
      </c>
    </row>
    <row r="6" customFormat="false" ht="39.75" hidden="false" customHeight="true" outlineLevel="0" collapsed="false">
      <c r="A6" s="2" t="s">
        <v>9</v>
      </c>
      <c r="B6" s="2" t="s">
        <v>10</v>
      </c>
    </row>
    <row r="7" customFormat="false" ht="39.75" hidden="false" customHeight="true" outlineLevel="0" collapsed="false">
      <c r="A7" s="2" t="s">
        <v>11</v>
      </c>
      <c r="B7" s="2" t="s">
        <v>12</v>
      </c>
    </row>
    <row r="8" customFormat="false" ht="39.75" hidden="false" customHeight="true" outlineLevel="0" collapsed="false">
      <c r="A8" s="2" t="s">
        <v>13</v>
      </c>
      <c r="B8" s="2" t="s">
        <v>14</v>
      </c>
    </row>
    <row r="9" customFormat="false" ht="39.75" hidden="false" customHeight="true" outlineLevel="0" collapsed="false">
      <c r="A9" s="2" t="s">
        <v>15</v>
      </c>
      <c r="B9" s="2" t="s">
        <v>16</v>
      </c>
    </row>
    <row r="10" customFormat="false" ht="39.75" hidden="false" customHeight="true" outlineLevel="0" collapsed="false">
      <c r="A10" s="2" t="s">
        <v>17</v>
      </c>
      <c r="B10" s="2" t="s">
        <v>18</v>
      </c>
    </row>
    <row r="11" customFormat="false" ht="39.75" hidden="false" customHeight="true" outlineLevel="0" collapsed="false">
      <c r="A11" s="2" t="s">
        <v>19</v>
      </c>
      <c r="B11" s="2" t="s">
        <v>20</v>
      </c>
    </row>
    <row r="12" customFormat="false" ht="39.75" hidden="false" customHeight="true" outlineLevel="0" collapsed="false">
      <c r="A12" s="2" t="s">
        <v>21</v>
      </c>
      <c r="B12" s="2" t="s">
        <v>22</v>
      </c>
    </row>
    <row r="13" customFormat="false" ht="39.75" hidden="false" customHeight="true" outlineLevel="0" collapsed="false">
      <c r="A13" s="2" t="s">
        <v>23</v>
      </c>
      <c r="B13" s="2" t="s">
        <v>24</v>
      </c>
    </row>
    <row r="14" customFormat="false" ht="39.75" hidden="false" customHeight="true" outlineLevel="0" collapsed="false">
      <c r="A14" s="2" t="s">
        <v>25</v>
      </c>
      <c r="B14" s="2" t="s">
        <v>26</v>
      </c>
    </row>
    <row r="15" customFormat="false" ht="39.75" hidden="false" customHeight="true" outlineLevel="0" collapsed="false">
      <c r="A15" s="2" t="s">
        <v>27</v>
      </c>
      <c r="B15" s="2" t="s">
        <v>28</v>
      </c>
    </row>
    <row r="16" customFormat="false" ht="39.75" hidden="false" customHeight="true" outlineLevel="0" collapsed="false">
      <c r="A16" s="2" t="s">
        <v>29</v>
      </c>
      <c r="B16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31</v>
      </c>
      <c r="B1" s="1" t="s">
        <v>32</v>
      </c>
    </row>
    <row r="2" customFormat="false" ht="15" hidden="false" customHeight="false" outlineLevel="0" collapsed="false">
      <c r="A2" s="0" t="s">
        <v>33</v>
      </c>
      <c r="B2" s="3" t="n">
        <v>0.08</v>
      </c>
    </row>
    <row r="3" customFormat="false" ht="15" hidden="false" customHeight="false" outlineLevel="0" collapsed="false">
      <c r="A3" s="0" t="s">
        <v>34</v>
      </c>
      <c r="B3" s="3" t="n">
        <v>0.1</v>
      </c>
    </row>
    <row r="4" customFormat="false" ht="15" hidden="false" customHeight="false" outlineLevel="0" collapsed="false">
      <c r="A4" s="0" t="s">
        <v>35</v>
      </c>
      <c r="B4" s="3" t="n">
        <v>0.025</v>
      </c>
    </row>
    <row r="5" customFormat="false" ht="15" hidden="false" customHeight="false" outlineLevel="0" collapsed="false">
      <c r="A5" s="0" t="s">
        <v>36</v>
      </c>
      <c r="B5" s="0" t="s">
        <v>37</v>
      </c>
    </row>
    <row r="6" customFormat="false" ht="15" hidden="false" customHeight="false" outlineLevel="0" collapsed="false">
      <c r="A6" s="0" t="s">
        <v>38</v>
      </c>
      <c r="B6" s="3" t="n">
        <v>0.2</v>
      </c>
    </row>
    <row r="7" customFormat="false" ht="15" hidden="false" customHeight="false" outlineLevel="0" collapsed="false">
      <c r="A7" s="0" t="s">
        <v>39</v>
      </c>
      <c r="B7" s="4" t="n">
        <v>500000</v>
      </c>
    </row>
    <row r="8" customFormat="false" ht="15" hidden="false" customHeight="false" outlineLevel="0" collapsed="false">
      <c r="A8" s="0" t="s">
        <v>15</v>
      </c>
      <c r="B8" s="4" t="n">
        <v>70000</v>
      </c>
    </row>
    <row r="9" customFormat="false" ht="15" hidden="false" customHeight="false" outlineLevel="0" collapsed="false">
      <c r="A9" s="0" t="s">
        <v>40</v>
      </c>
      <c r="B9" s="3" t="n">
        <v>0.01</v>
      </c>
    </row>
    <row r="10" customFormat="false" ht="15" hidden="false" customHeight="false" outlineLevel="0" collapsed="false">
      <c r="A10" s="0" t="s">
        <v>41</v>
      </c>
      <c r="B10" s="3" t="n">
        <v>0</v>
      </c>
    </row>
    <row r="11" customFormat="false" ht="15" hidden="false" customHeight="false" outlineLevel="0" collapsed="false">
      <c r="A11" s="0" t="s">
        <v>42</v>
      </c>
      <c r="B11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7" min="2" style="0" width="20"/>
  </cols>
  <sheetData>
    <row r="1" customFormat="false" ht="43.5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9</v>
      </c>
      <c r="N1" s="1" t="s">
        <v>34</v>
      </c>
      <c r="O1" s="1" t="s">
        <v>11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</row>
    <row r="2" customFormat="false" ht="15" hidden="false" customHeight="false" outlineLevel="0" collapsed="false">
      <c r="A2" s="0" t="s">
        <v>15</v>
      </c>
      <c r="B2" s="5" t="n">
        <v>70000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6" t="s">
        <v>68</v>
      </c>
      <c r="K2" s="6" t="s">
        <v>68</v>
      </c>
      <c r="L2" s="7" t="n">
        <f aca="false">SUM(B2:E2)</f>
        <v>70000</v>
      </c>
      <c r="M2" s="7" t="n">
        <f aca="false">IF(J2="Yes",ROUND(IF(Settings!$B$11="gross",L2,SUM(B2:D2))*Settings!$B$2,2),0)</f>
        <v>0</v>
      </c>
      <c r="N2" s="7" t="n">
        <f aca="false">IF(J2="Yes",ROUND(IF(Settings!$B$11="gross",L2,SUM(B2:D2))*Settings!$B$3,2),0)</f>
        <v>0</v>
      </c>
      <c r="O2" s="7" t="n">
        <f aca="false">IF(K2="Yes",ROUND(IF(Settings!$B$5="gross",L2,B2)*Settings!$B$4,2),0)</f>
        <v>0</v>
      </c>
      <c r="P2" s="7" t="n">
        <f aca="false">MIN(ROUND(F2*Settings!$B$6,2),Settings!$B$7)</f>
        <v>0</v>
      </c>
      <c r="Q2" s="7" t="n">
        <f aca="false">MAX(0,(L2-M2-O2-G2)*12-P2-I2)</f>
        <v>840000</v>
      </c>
      <c r="R2" s="7" t="n">
        <f aca="false">MIN(MAX(Q2-800000,0),2200000)*0.15+MIN(MAX(Q2-3000000,0),9000000)*0.18+MIN(MAX(Q2-12000000,0),13000000)*0.21+MIN(MAX(Q2-25000000,0),25000000)*0.23+MAX(Q2-50000000,0)*0.25</f>
        <v>6000</v>
      </c>
      <c r="S2" s="7" t="n">
        <f aca="false">IF(L2&lt;=Settings!$B$8,0,ROUND(R2/12,2))</f>
        <v>0</v>
      </c>
      <c r="T2" s="7" t="n">
        <f aca="false">SUM(M2,O2,G2,H2,S2)</f>
        <v>0</v>
      </c>
      <c r="U2" s="7" t="n">
        <f aca="false">L2-T2</f>
        <v>70000</v>
      </c>
      <c r="V2" s="7" t="n">
        <f aca="false">ROUND(L2*Settings!$B$9,2)</f>
        <v>700</v>
      </c>
      <c r="W2" s="7" t="n">
        <f aca="false">ROUND(L2*Settings!$B$10,2)</f>
        <v>0</v>
      </c>
      <c r="X2" s="7" t="n">
        <v>0</v>
      </c>
      <c r="Y2" s="7" t="n">
        <v>70000</v>
      </c>
      <c r="Z2" s="7" t="n">
        <f aca="false">S2-X2</f>
        <v>0</v>
      </c>
      <c r="AA2" s="7" t="n">
        <f aca="false">U2-Y2</f>
        <v>0</v>
      </c>
    </row>
    <row r="3" customFormat="false" ht="15" hidden="false" customHeight="false" outlineLevel="0" collapsed="false">
      <c r="A3" s="0" t="s">
        <v>69</v>
      </c>
      <c r="B3" s="5" t="n">
        <v>70000.01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6" t="s">
        <v>68</v>
      </c>
      <c r="K3" s="6" t="s">
        <v>68</v>
      </c>
      <c r="L3" s="7" t="n">
        <f aca="false">SUM(B3:E3)</f>
        <v>70000.01</v>
      </c>
      <c r="M3" s="7" t="n">
        <f aca="false">IF(J3="Yes",ROUND(IF(Settings!$B$11="gross",L3,SUM(B3:D3))*Settings!$B$2,2),0)</f>
        <v>0</v>
      </c>
      <c r="N3" s="7" t="n">
        <f aca="false">IF(J3="Yes",ROUND(IF(Settings!$B$11="gross",L3,SUM(B3:D3))*Settings!$B$3,2),0)</f>
        <v>0</v>
      </c>
      <c r="O3" s="7" t="n">
        <f aca="false">IF(K3="Yes",ROUND(IF(Settings!$B$5="gross",L3,B3)*Settings!$B$4,2),0)</f>
        <v>0</v>
      </c>
      <c r="P3" s="7" t="n">
        <f aca="false">MIN(ROUND(F3*Settings!$B$6,2),Settings!$B$7)</f>
        <v>0</v>
      </c>
      <c r="Q3" s="7" t="n">
        <f aca="false">MAX(0,(L3-M3-O3-G3)*12-P3-I3)</f>
        <v>840000.12</v>
      </c>
      <c r="R3" s="7" t="n">
        <f aca="false">MIN(MAX(Q3-800000,0),2200000)*0.15+MIN(MAX(Q3-3000000,0),9000000)*0.18+MIN(MAX(Q3-12000000,0),13000000)*0.21+MIN(MAX(Q3-25000000,0),25000000)*0.23+MAX(Q3-50000000,0)*0.25</f>
        <v>6000.01799999998</v>
      </c>
      <c r="S3" s="7" t="n">
        <f aca="false">IF(L3&lt;=Settings!$B$8,0,ROUND(R3/12,2))</f>
        <v>500</v>
      </c>
      <c r="T3" s="7" t="n">
        <f aca="false">SUM(M3,O3,G3,H3,S3)</f>
        <v>500</v>
      </c>
      <c r="U3" s="7" t="n">
        <f aca="false">L3-T3</f>
        <v>69500.01</v>
      </c>
      <c r="V3" s="7" t="n">
        <f aca="false">ROUND(L3*Settings!$B$9,2)</f>
        <v>700</v>
      </c>
      <c r="W3" s="7" t="n">
        <f aca="false">ROUND(L3*Settings!$B$10,2)</f>
        <v>0</v>
      </c>
      <c r="X3" s="7" t="n">
        <v>500</v>
      </c>
      <c r="Y3" s="7" t="n">
        <v>69500.01</v>
      </c>
      <c r="Z3" s="7" t="n">
        <f aca="false">S3-X3</f>
        <v>0</v>
      </c>
      <c r="AA3" s="7" t="n">
        <f aca="false">U3-Y3</f>
        <v>0</v>
      </c>
    </row>
    <row r="4" customFormat="false" ht="15" hidden="false" customHeight="false" outlineLevel="0" collapsed="false">
      <c r="A4" s="0" t="s">
        <v>70</v>
      </c>
      <c r="B4" s="5" t="n">
        <v>200000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6" t="s">
        <v>71</v>
      </c>
      <c r="K4" s="6" t="s">
        <v>68</v>
      </c>
      <c r="L4" s="7" t="n">
        <f aca="false">SUM(B4:E4)</f>
        <v>200000</v>
      </c>
      <c r="M4" s="7" t="n">
        <f aca="false">IF(J4="Yes",ROUND(IF(Settings!$B$11="gross",L4,SUM(B4:D4))*Settings!$B$2,2),0)</f>
        <v>16000</v>
      </c>
      <c r="N4" s="7" t="n">
        <f aca="false">IF(J4="Yes",ROUND(IF(Settings!$B$11="gross",L4,SUM(B4:D4))*Settings!$B$3,2),0)</f>
        <v>20000</v>
      </c>
      <c r="O4" s="7" t="n">
        <f aca="false">IF(K4="Yes",ROUND(IF(Settings!$B$5="gross",L4,B4)*Settings!$B$4,2),0)</f>
        <v>0</v>
      </c>
      <c r="P4" s="7" t="n">
        <f aca="false">MIN(ROUND(F4*Settings!$B$6,2),Settings!$B$7)</f>
        <v>0</v>
      </c>
      <c r="Q4" s="7" t="n">
        <f aca="false">MAX(0,(L4-M4-O4-G4)*12-P4-I4)</f>
        <v>2208000</v>
      </c>
      <c r="R4" s="7" t="n">
        <f aca="false">MIN(MAX(Q4-800000,0),2200000)*0.15+MIN(MAX(Q4-3000000,0),9000000)*0.18+MIN(MAX(Q4-12000000,0),13000000)*0.21+MIN(MAX(Q4-25000000,0),25000000)*0.23+MAX(Q4-50000000,0)*0.25</f>
        <v>211200</v>
      </c>
      <c r="S4" s="7" t="n">
        <f aca="false">IF(L4&lt;=Settings!$B$8,0,ROUND(R4/12,2))</f>
        <v>17600</v>
      </c>
      <c r="T4" s="7" t="n">
        <f aca="false">SUM(M4,O4,G4,H4,S4)</f>
        <v>33600</v>
      </c>
      <c r="U4" s="7" t="n">
        <f aca="false">L4-T4</f>
        <v>166400</v>
      </c>
      <c r="V4" s="7" t="n">
        <f aca="false">ROUND(L4*Settings!$B$9,2)</f>
        <v>2000</v>
      </c>
      <c r="W4" s="7" t="n">
        <f aca="false">ROUND(L4*Settings!$B$10,2)</f>
        <v>0</v>
      </c>
      <c r="X4" s="7" t="n">
        <v>17600</v>
      </c>
      <c r="Y4" s="7" t="n">
        <v>166400</v>
      </c>
      <c r="Z4" s="7" t="n">
        <f aca="false">S4-X4</f>
        <v>0</v>
      </c>
      <c r="AA4" s="7" t="n">
        <f aca="false">U4-Y4</f>
        <v>0</v>
      </c>
    </row>
    <row r="5" customFormat="false" ht="15" hidden="false" customHeight="false" outlineLevel="0" collapsed="false">
      <c r="A5" s="0" t="s">
        <v>72</v>
      </c>
      <c r="B5" s="5" t="n">
        <v>250000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6" t="s">
        <v>68</v>
      </c>
      <c r="K5" s="6" t="s">
        <v>68</v>
      </c>
      <c r="L5" s="7" t="n">
        <f aca="false">SUM(B5:E5)</f>
        <v>250000</v>
      </c>
      <c r="M5" s="7" t="n">
        <f aca="false">IF(J5="Yes",ROUND(IF(Settings!$B$11="gross",L5,SUM(B5:D5))*Settings!$B$2,2),0)</f>
        <v>0</v>
      </c>
      <c r="N5" s="7" t="n">
        <f aca="false">IF(J5="Yes",ROUND(IF(Settings!$B$11="gross",L5,SUM(B5:D5))*Settings!$B$3,2),0)</f>
        <v>0</v>
      </c>
      <c r="O5" s="7" t="n">
        <f aca="false">IF(K5="Yes",ROUND(IF(Settings!$B$5="gross",L5,B5)*Settings!$B$4,2),0)</f>
        <v>0</v>
      </c>
      <c r="P5" s="7" t="n">
        <f aca="false">MIN(ROUND(F5*Settings!$B$6,2),Settings!$B$7)</f>
        <v>0</v>
      </c>
      <c r="Q5" s="7" t="n">
        <f aca="false">MAX(0,(L5-M5-O5-G5)*12-P5-I5)</f>
        <v>3000000</v>
      </c>
      <c r="R5" s="7" t="n">
        <f aca="false">MIN(MAX(Q5-800000,0),2200000)*0.15+MIN(MAX(Q5-3000000,0),9000000)*0.18+MIN(MAX(Q5-12000000,0),13000000)*0.21+MIN(MAX(Q5-25000000,0),25000000)*0.23+MAX(Q5-50000000,0)*0.25</f>
        <v>330000</v>
      </c>
      <c r="S5" s="7" t="n">
        <f aca="false">IF(L5&lt;=Settings!$B$8,0,ROUND(R5/12,2))</f>
        <v>27500</v>
      </c>
      <c r="T5" s="7" t="n">
        <f aca="false">SUM(M5,O5,G5,H5,S5)</f>
        <v>27500</v>
      </c>
      <c r="U5" s="7" t="n">
        <f aca="false">L5-T5</f>
        <v>222500</v>
      </c>
      <c r="V5" s="7" t="n">
        <f aca="false">ROUND(L5*Settings!$B$9,2)</f>
        <v>2500</v>
      </c>
      <c r="W5" s="7" t="n">
        <f aca="false">ROUND(L5*Settings!$B$10,2)</f>
        <v>0</v>
      </c>
      <c r="X5" s="7" t="n">
        <v>27500</v>
      </c>
      <c r="Y5" s="7" t="n">
        <v>222500</v>
      </c>
      <c r="Z5" s="7" t="n">
        <f aca="false">S5-X5</f>
        <v>0</v>
      </c>
      <c r="AA5" s="7" t="n">
        <f aca="false">U5-Y5</f>
        <v>0</v>
      </c>
    </row>
    <row r="6" customFormat="false" ht="15" hidden="false" customHeight="false" outlineLevel="0" collapsed="false">
      <c r="A6" s="0" t="s">
        <v>73</v>
      </c>
      <c r="B6" s="5" t="n">
        <v>1000000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6" t="s">
        <v>68</v>
      </c>
      <c r="K6" s="6" t="s">
        <v>68</v>
      </c>
      <c r="L6" s="7" t="n">
        <f aca="false">SUM(B6:E6)</f>
        <v>1000000</v>
      </c>
      <c r="M6" s="7" t="n">
        <f aca="false">IF(J6="Yes",ROUND(IF(Settings!$B$11="gross",L6,SUM(B6:D6))*Settings!$B$2,2),0)</f>
        <v>0</v>
      </c>
      <c r="N6" s="7" t="n">
        <f aca="false">IF(J6="Yes",ROUND(IF(Settings!$B$11="gross",L6,SUM(B6:D6))*Settings!$B$3,2),0)</f>
        <v>0</v>
      </c>
      <c r="O6" s="7" t="n">
        <f aca="false">IF(K6="Yes",ROUND(IF(Settings!$B$5="gross",L6,B6)*Settings!$B$4,2),0)</f>
        <v>0</v>
      </c>
      <c r="P6" s="7" t="n">
        <f aca="false">MIN(ROUND(F6*Settings!$B$6,2),Settings!$B$7)</f>
        <v>0</v>
      </c>
      <c r="Q6" s="7" t="n">
        <f aca="false">MAX(0,(L6-M6-O6-G6)*12-P6-I6)</f>
        <v>12000000</v>
      </c>
      <c r="R6" s="7" t="n">
        <f aca="false">MIN(MAX(Q6-800000,0),2200000)*0.15+MIN(MAX(Q6-3000000,0),9000000)*0.18+MIN(MAX(Q6-12000000,0),13000000)*0.21+MIN(MAX(Q6-25000000,0),25000000)*0.23+MAX(Q6-50000000,0)*0.25</f>
        <v>1950000</v>
      </c>
      <c r="S6" s="7" t="n">
        <f aca="false">IF(L6&lt;=Settings!$B$8,0,ROUND(R6/12,2))</f>
        <v>162500</v>
      </c>
      <c r="T6" s="7" t="n">
        <f aca="false">SUM(M6,O6,G6,H6,S6)</f>
        <v>162500</v>
      </c>
      <c r="U6" s="7" t="n">
        <f aca="false">L6-T6</f>
        <v>837500</v>
      </c>
      <c r="V6" s="7" t="n">
        <f aca="false">ROUND(L6*Settings!$B$9,2)</f>
        <v>10000</v>
      </c>
      <c r="W6" s="7" t="n">
        <f aca="false">ROUND(L6*Settings!$B$10,2)</f>
        <v>0</v>
      </c>
      <c r="X6" s="7" t="n">
        <v>162500</v>
      </c>
      <c r="Y6" s="7" t="n">
        <v>837500</v>
      </c>
      <c r="Z6" s="7" t="n">
        <f aca="false">S6-X6</f>
        <v>0</v>
      </c>
      <c r="AA6" s="7" t="n">
        <f aca="false">U6-Y6</f>
        <v>0</v>
      </c>
    </row>
    <row r="7" customFormat="false" ht="15" hidden="false" customHeight="false" outlineLevel="0" collapsed="false">
      <c r="A7" s="0" t="s">
        <v>74</v>
      </c>
      <c r="B7" s="5" t="n">
        <v>2083333.33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6" t="s">
        <v>68</v>
      </c>
      <c r="K7" s="6" t="s">
        <v>68</v>
      </c>
      <c r="L7" s="7" t="n">
        <f aca="false">SUM(B7:E7)</f>
        <v>2083333.33</v>
      </c>
      <c r="M7" s="7" t="n">
        <f aca="false">IF(J7="Yes",ROUND(IF(Settings!$B$11="gross",L7,SUM(B7:D7))*Settings!$B$2,2),0)</f>
        <v>0</v>
      </c>
      <c r="N7" s="7" t="n">
        <f aca="false">IF(J7="Yes",ROUND(IF(Settings!$B$11="gross",L7,SUM(B7:D7))*Settings!$B$3,2),0)</f>
        <v>0</v>
      </c>
      <c r="O7" s="7" t="n">
        <f aca="false">IF(K7="Yes",ROUND(IF(Settings!$B$5="gross",L7,B7)*Settings!$B$4,2),0)</f>
        <v>0</v>
      </c>
      <c r="P7" s="7" t="n">
        <f aca="false">MIN(ROUND(F7*Settings!$B$6,2),Settings!$B$7)</f>
        <v>0</v>
      </c>
      <c r="Q7" s="7" t="n">
        <f aca="false">MAX(0,(L7-M7-O7-G7)*12-P7-I7)</f>
        <v>24999999.96</v>
      </c>
      <c r="R7" s="7" t="n">
        <f aca="false">MIN(MAX(Q7-800000,0),2200000)*0.15+MIN(MAX(Q7-3000000,0),9000000)*0.18+MIN(MAX(Q7-12000000,0),13000000)*0.21+MIN(MAX(Q7-25000000,0),25000000)*0.23+MAX(Q7-50000000,0)*0.25</f>
        <v>4679999.9916</v>
      </c>
      <c r="S7" s="7" t="n">
        <f aca="false">IF(L7&lt;=Settings!$B$8,0,ROUND(R7/12,2))</f>
        <v>390000</v>
      </c>
      <c r="T7" s="7" t="n">
        <f aca="false">SUM(M7,O7,G7,H7,S7)</f>
        <v>390000</v>
      </c>
      <c r="U7" s="7" t="n">
        <f aca="false">L7-T7</f>
        <v>1693333.33</v>
      </c>
      <c r="V7" s="7" t="n">
        <f aca="false">ROUND(L7*Settings!$B$9,2)</f>
        <v>20833.33</v>
      </c>
      <c r="W7" s="7" t="n">
        <f aca="false">ROUND(L7*Settings!$B$10,2)</f>
        <v>0</v>
      </c>
      <c r="X7" s="7" t="n">
        <v>390000</v>
      </c>
      <c r="Y7" s="7" t="n">
        <v>1693333.33</v>
      </c>
      <c r="Z7" s="7" t="n">
        <f aca="false">S7-X7</f>
        <v>0</v>
      </c>
      <c r="AA7" s="7" t="n">
        <f aca="false">U7-Y7</f>
        <v>0</v>
      </c>
    </row>
    <row r="8" customFormat="false" ht="15" hidden="false" customHeight="false" outlineLevel="0" collapsed="false">
      <c r="A8" s="0" t="s">
        <v>75</v>
      </c>
      <c r="B8" s="5" t="n">
        <v>4166666.67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6" t="s">
        <v>68</v>
      </c>
      <c r="K8" s="6" t="s">
        <v>68</v>
      </c>
      <c r="L8" s="7" t="n">
        <f aca="false">SUM(B8:E8)</f>
        <v>4166666.67</v>
      </c>
      <c r="M8" s="7" t="n">
        <f aca="false">IF(J8="Yes",ROUND(IF(Settings!$B$11="gross",L8,SUM(B8:D8))*Settings!$B$2,2),0)</f>
        <v>0</v>
      </c>
      <c r="N8" s="7" t="n">
        <f aca="false">IF(J8="Yes",ROUND(IF(Settings!$B$11="gross",L8,SUM(B8:D8))*Settings!$B$3,2),0)</f>
        <v>0</v>
      </c>
      <c r="O8" s="7" t="n">
        <f aca="false">IF(K8="Yes",ROUND(IF(Settings!$B$5="gross",L8,B8)*Settings!$B$4,2),0)</f>
        <v>0</v>
      </c>
      <c r="P8" s="7" t="n">
        <f aca="false">MIN(ROUND(F8*Settings!$B$6,2),Settings!$B$7)</f>
        <v>0</v>
      </c>
      <c r="Q8" s="7" t="n">
        <f aca="false">MAX(0,(L8-M8-O8-G8)*12-P8-I8)</f>
        <v>50000000.04</v>
      </c>
      <c r="R8" s="7" t="n">
        <f aca="false">MIN(MAX(Q8-800000,0),2200000)*0.15+MIN(MAX(Q8-3000000,0),9000000)*0.18+MIN(MAX(Q8-12000000,0),13000000)*0.21+MIN(MAX(Q8-25000000,0),25000000)*0.23+MAX(Q8-50000000,0)*0.25</f>
        <v>10430000.01</v>
      </c>
      <c r="S8" s="7" t="n">
        <f aca="false">IF(L8&lt;=Settings!$B$8,0,ROUND(R8/12,2))</f>
        <v>869166.67</v>
      </c>
      <c r="T8" s="7" t="n">
        <f aca="false">SUM(M8,O8,G8,H8,S8)</f>
        <v>869166.67</v>
      </c>
      <c r="U8" s="7" t="n">
        <f aca="false">L8-T8</f>
        <v>3297500</v>
      </c>
      <c r="V8" s="7" t="n">
        <f aca="false">ROUND(L8*Settings!$B$9,2)</f>
        <v>41666.67</v>
      </c>
      <c r="W8" s="7" t="n">
        <f aca="false">ROUND(L8*Settings!$B$10,2)</f>
        <v>0</v>
      </c>
      <c r="X8" s="7" t="n">
        <v>869166.67</v>
      </c>
      <c r="Y8" s="7" t="n">
        <v>3297500</v>
      </c>
      <c r="Z8" s="7" t="n">
        <f aca="false">S8-X8</f>
        <v>0</v>
      </c>
      <c r="AA8" s="7" t="n">
        <f aca="false">U8-Y8</f>
        <v>0</v>
      </c>
    </row>
    <row r="9" customFormat="false" ht="15" hidden="false" customHeight="false" outlineLevel="0" collapsed="false">
      <c r="A9" s="0" t="s">
        <v>76</v>
      </c>
      <c r="B9" s="5" t="n">
        <v>5000000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6" t="s">
        <v>68</v>
      </c>
      <c r="K9" s="6" t="s">
        <v>68</v>
      </c>
      <c r="L9" s="7" t="n">
        <f aca="false">SUM(B9:E9)</f>
        <v>5000000</v>
      </c>
      <c r="M9" s="7" t="n">
        <f aca="false">IF(J9="Yes",ROUND(IF(Settings!$B$11="gross",L9,SUM(B9:D9))*Settings!$B$2,2),0)</f>
        <v>0</v>
      </c>
      <c r="N9" s="7" t="n">
        <f aca="false">IF(J9="Yes",ROUND(IF(Settings!$B$11="gross",L9,SUM(B9:D9))*Settings!$B$3,2),0)</f>
        <v>0</v>
      </c>
      <c r="O9" s="7" t="n">
        <f aca="false">IF(K9="Yes",ROUND(IF(Settings!$B$5="gross",L9,B9)*Settings!$B$4,2),0)</f>
        <v>0</v>
      </c>
      <c r="P9" s="7" t="n">
        <f aca="false">MIN(ROUND(F9*Settings!$B$6,2),Settings!$B$7)</f>
        <v>0</v>
      </c>
      <c r="Q9" s="7" t="n">
        <f aca="false">MAX(0,(L9-M9-O9-G9)*12-P9-I9)</f>
        <v>60000000</v>
      </c>
      <c r="R9" s="7" t="n">
        <f aca="false">MIN(MAX(Q9-800000,0),2200000)*0.15+MIN(MAX(Q9-3000000,0),9000000)*0.18+MIN(MAX(Q9-12000000,0),13000000)*0.21+MIN(MAX(Q9-25000000,0),25000000)*0.23+MAX(Q9-50000000,0)*0.25</f>
        <v>12930000</v>
      </c>
      <c r="S9" s="7" t="n">
        <f aca="false">IF(L9&lt;=Settings!$B$8,0,ROUND(R9/12,2))</f>
        <v>1077500</v>
      </c>
      <c r="T9" s="7" t="n">
        <f aca="false">SUM(M9,O9,G9,H9,S9)</f>
        <v>1077500</v>
      </c>
      <c r="U9" s="7" t="n">
        <f aca="false">L9-T9</f>
        <v>3922500</v>
      </c>
      <c r="V9" s="7" t="n">
        <f aca="false">ROUND(L9*Settings!$B$9,2)</f>
        <v>50000</v>
      </c>
      <c r="W9" s="7" t="n">
        <f aca="false">ROUND(L9*Settings!$B$10,2)</f>
        <v>0</v>
      </c>
      <c r="X9" s="7" t="n">
        <v>1077500</v>
      </c>
      <c r="Y9" s="7" t="n">
        <v>3922500</v>
      </c>
      <c r="Z9" s="7" t="n">
        <f aca="false">S9-X9</f>
        <v>0</v>
      </c>
      <c r="AA9" s="7" t="n">
        <f aca="false">U9-Y9</f>
        <v>0</v>
      </c>
    </row>
    <row r="10" customFormat="false" ht="15" hidden="false" customHeight="false" outlineLevel="0" collapsed="false">
      <c r="A10" s="0" t="s">
        <v>77</v>
      </c>
      <c r="B10" s="5" t="n">
        <v>200000</v>
      </c>
      <c r="C10" s="5" t="n">
        <v>100000</v>
      </c>
      <c r="D10" s="5" t="n">
        <v>50000</v>
      </c>
      <c r="E10" s="5" t="n">
        <v>0</v>
      </c>
      <c r="F10" s="5" t="n">
        <v>1200000</v>
      </c>
      <c r="G10" s="5" t="n">
        <v>0</v>
      </c>
      <c r="H10" s="5" t="n">
        <v>0</v>
      </c>
      <c r="I10" s="5" t="n">
        <v>0</v>
      </c>
      <c r="J10" s="6" t="s">
        <v>71</v>
      </c>
      <c r="K10" s="6" t="s">
        <v>71</v>
      </c>
      <c r="L10" s="7" t="n">
        <f aca="false">SUM(B10:E10)</f>
        <v>350000</v>
      </c>
      <c r="M10" s="7" t="n">
        <f aca="false">IF(J10="Yes",ROUND(IF(Settings!$B$11="gross",L10,SUM(B10:D10))*Settings!$B$2,2),0)</f>
        <v>28000</v>
      </c>
      <c r="N10" s="7" t="n">
        <f aca="false">IF(J10="Yes",ROUND(IF(Settings!$B$11="gross",L10,SUM(B10:D10))*Settings!$B$3,2),0)</f>
        <v>35000</v>
      </c>
      <c r="O10" s="7" t="n">
        <f aca="false">IF(K10="Yes",ROUND(IF(Settings!$B$5="gross",L10,B10)*Settings!$B$4,2),0)</f>
        <v>5000</v>
      </c>
      <c r="P10" s="7" t="n">
        <f aca="false">MIN(ROUND(F10*Settings!$B$6,2),Settings!$B$7)</f>
        <v>240000</v>
      </c>
      <c r="Q10" s="7" t="n">
        <f aca="false">MAX(0,(L10-M10-O10-G10)*12-P10-I10)</f>
        <v>3564000</v>
      </c>
      <c r="R10" s="7" t="n">
        <f aca="false">MIN(MAX(Q10-800000,0),2200000)*0.15+MIN(MAX(Q10-3000000,0),9000000)*0.18+MIN(MAX(Q10-12000000,0),13000000)*0.21+MIN(MAX(Q10-25000000,0),25000000)*0.23+MAX(Q10-50000000,0)*0.25</f>
        <v>431520</v>
      </c>
      <c r="S10" s="7" t="n">
        <f aca="false">IF(L10&lt;=Settings!$B$8,0,ROUND(R10/12,2))</f>
        <v>35960</v>
      </c>
      <c r="T10" s="7" t="n">
        <f aca="false">SUM(M10,O10,G10,H10,S10)</f>
        <v>68960</v>
      </c>
      <c r="U10" s="7" t="n">
        <f aca="false">L10-T10</f>
        <v>281040</v>
      </c>
      <c r="V10" s="7" t="n">
        <f aca="false">ROUND(L10*Settings!$B$9,2)</f>
        <v>3500</v>
      </c>
      <c r="W10" s="7" t="n">
        <f aca="false">ROUND(L10*Settings!$B$10,2)</f>
        <v>0</v>
      </c>
      <c r="X10" s="7" t="n">
        <v>35960</v>
      </c>
      <c r="Y10" s="7" t="n">
        <v>281040</v>
      </c>
      <c r="Z10" s="7" t="n">
        <f aca="false">S10-X10</f>
        <v>0</v>
      </c>
      <c r="AA10" s="7" t="n">
        <f aca="false">U10-Y10</f>
        <v>0</v>
      </c>
    </row>
    <row r="11" customFormat="false" ht="15" hidden="false" customHeight="false" outlineLevel="0" collapsed="false">
      <c r="A11" s="0" t="s">
        <v>78</v>
      </c>
      <c r="B11" s="5" t="n">
        <v>350000</v>
      </c>
      <c r="C11" s="5" t="n">
        <v>0</v>
      </c>
      <c r="D11" s="5" t="n">
        <v>0</v>
      </c>
      <c r="E11" s="5" t="n">
        <v>0</v>
      </c>
      <c r="F11" s="5" t="n">
        <v>4000000</v>
      </c>
      <c r="G11" s="5" t="n">
        <v>0</v>
      </c>
      <c r="H11" s="5" t="n">
        <v>0</v>
      </c>
      <c r="I11" s="5" t="n">
        <v>0</v>
      </c>
      <c r="J11" s="6" t="s">
        <v>71</v>
      </c>
      <c r="K11" s="6" t="s">
        <v>68</v>
      </c>
      <c r="L11" s="7" t="n">
        <f aca="false">SUM(B11:E11)</f>
        <v>350000</v>
      </c>
      <c r="M11" s="7" t="n">
        <f aca="false">IF(J11="Yes",ROUND(IF(Settings!$B$11="gross",L11,SUM(B11:D11))*Settings!$B$2,2),0)</f>
        <v>28000</v>
      </c>
      <c r="N11" s="7" t="n">
        <f aca="false">IF(J11="Yes",ROUND(IF(Settings!$B$11="gross",L11,SUM(B11:D11))*Settings!$B$3,2),0)</f>
        <v>35000</v>
      </c>
      <c r="O11" s="7" t="n">
        <f aca="false">IF(K11="Yes",ROUND(IF(Settings!$B$5="gross",L11,B11)*Settings!$B$4,2),0)</f>
        <v>0</v>
      </c>
      <c r="P11" s="7" t="n">
        <f aca="false">MIN(ROUND(F11*Settings!$B$6,2),Settings!$B$7)</f>
        <v>500000</v>
      </c>
      <c r="Q11" s="7" t="n">
        <f aca="false">MAX(0,(L11-M11-O11-G11)*12-P11-I11)</f>
        <v>3364000</v>
      </c>
      <c r="R11" s="7" t="n">
        <f aca="false">MIN(MAX(Q11-800000,0),2200000)*0.15+MIN(MAX(Q11-3000000,0),9000000)*0.18+MIN(MAX(Q11-12000000,0),13000000)*0.21+MIN(MAX(Q11-25000000,0),25000000)*0.23+MAX(Q11-50000000,0)*0.25</f>
        <v>395520</v>
      </c>
      <c r="S11" s="7" t="n">
        <f aca="false">IF(L11&lt;=Settings!$B$8,0,ROUND(R11/12,2))</f>
        <v>32960</v>
      </c>
      <c r="T11" s="7" t="n">
        <f aca="false">SUM(M11,O11,G11,H11,S11)</f>
        <v>60960</v>
      </c>
      <c r="U11" s="7" t="n">
        <f aca="false">L11-T11</f>
        <v>289040</v>
      </c>
      <c r="V11" s="7" t="n">
        <f aca="false">ROUND(L11*Settings!$B$9,2)</f>
        <v>3500</v>
      </c>
      <c r="W11" s="7" t="n">
        <f aca="false">ROUND(L11*Settings!$B$10,2)</f>
        <v>0</v>
      </c>
      <c r="X11" s="7" t="n">
        <v>32960</v>
      </c>
      <c r="Y11" s="7" t="n">
        <v>289040</v>
      </c>
      <c r="Z11" s="7" t="n">
        <f aca="false">S11-X11</f>
        <v>0</v>
      </c>
      <c r="AA11" s="7" t="n">
        <f aca="false">U11-Y11</f>
        <v>0</v>
      </c>
    </row>
    <row r="12" customFormat="false" ht="15" hidden="false" customHeight="false" outlineLevel="0" collapsed="false">
      <c r="A12" s="0" t="s">
        <v>79</v>
      </c>
      <c r="B12" s="5" t="n">
        <v>250000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10000</v>
      </c>
      <c r="H12" s="5" t="n">
        <v>5000</v>
      </c>
      <c r="I12" s="5" t="n">
        <v>0</v>
      </c>
      <c r="J12" s="6" t="s">
        <v>71</v>
      </c>
      <c r="K12" s="6" t="s">
        <v>68</v>
      </c>
      <c r="L12" s="7" t="n">
        <f aca="false">SUM(B12:E12)</f>
        <v>250000</v>
      </c>
      <c r="M12" s="7" t="n">
        <f aca="false">IF(J12="Yes",ROUND(IF(Settings!$B$11="gross",L12,SUM(B12:D12))*Settings!$B$2,2),0)</f>
        <v>20000</v>
      </c>
      <c r="N12" s="7" t="n">
        <f aca="false">IF(J12="Yes",ROUND(IF(Settings!$B$11="gross",L12,SUM(B12:D12))*Settings!$B$3,2),0)</f>
        <v>25000</v>
      </c>
      <c r="O12" s="7" t="n">
        <f aca="false">IF(K12="Yes",ROUND(IF(Settings!$B$5="gross",L12,B12)*Settings!$B$4,2),0)</f>
        <v>0</v>
      </c>
      <c r="P12" s="7" t="n">
        <f aca="false">MIN(ROUND(F12*Settings!$B$6,2),Settings!$B$7)</f>
        <v>0</v>
      </c>
      <c r="Q12" s="7" t="n">
        <f aca="false">MAX(0,(L12-M12-O12-G12)*12-P12-I12)</f>
        <v>2640000</v>
      </c>
      <c r="R12" s="7" t="n">
        <f aca="false">MIN(MAX(Q12-800000,0),2200000)*0.15+MIN(MAX(Q12-3000000,0),9000000)*0.18+MIN(MAX(Q12-12000000,0),13000000)*0.21+MIN(MAX(Q12-25000000,0),25000000)*0.23+MAX(Q12-50000000,0)*0.25</f>
        <v>276000</v>
      </c>
      <c r="S12" s="7" t="n">
        <f aca="false">IF(L12&lt;=Settings!$B$8,0,ROUND(R12/12,2))</f>
        <v>23000</v>
      </c>
      <c r="T12" s="7" t="n">
        <f aca="false">SUM(M12,O12,G12,H12,S12)</f>
        <v>58000</v>
      </c>
      <c r="U12" s="7" t="n">
        <f aca="false">L12-T12</f>
        <v>192000</v>
      </c>
      <c r="V12" s="7" t="n">
        <f aca="false">ROUND(L12*Settings!$B$9,2)</f>
        <v>2500</v>
      </c>
      <c r="W12" s="7" t="n">
        <f aca="false">ROUND(L12*Settings!$B$10,2)</f>
        <v>0</v>
      </c>
      <c r="X12" s="7" t="n">
        <v>23000</v>
      </c>
      <c r="Y12" s="7" t="n">
        <v>192000</v>
      </c>
      <c r="Z12" s="7" t="n">
        <f aca="false">S12-X12</f>
        <v>0</v>
      </c>
      <c r="AA12" s="7" t="n">
        <f aca="false">U12-Y12</f>
        <v>0</v>
      </c>
    </row>
    <row r="13" customFormat="false" ht="15" hidden="false" customHeight="false" outlineLevel="0" collapsed="false">
      <c r="A13" s="0" t="s">
        <v>80</v>
      </c>
      <c r="B13" s="5" t="n">
        <v>200000</v>
      </c>
      <c r="C13" s="5" t="n">
        <v>50000</v>
      </c>
      <c r="D13" s="5" t="n">
        <v>25000</v>
      </c>
      <c r="E13" s="5" t="n">
        <v>75000</v>
      </c>
      <c r="F13" s="5" t="n">
        <v>0</v>
      </c>
      <c r="G13" s="5" t="n">
        <v>0</v>
      </c>
      <c r="H13" s="5" t="n">
        <v>0</v>
      </c>
      <c r="I13" s="5" t="n">
        <v>0</v>
      </c>
      <c r="J13" s="6" t="s">
        <v>71</v>
      </c>
      <c r="K13" s="6" t="s">
        <v>71</v>
      </c>
      <c r="L13" s="7" t="n">
        <f aca="false">SUM(B13:E13)</f>
        <v>350000</v>
      </c>
      <c r="M13" s="7" t="n">
        <f aca="false">IF(J13="Yes",ROUND(IF(Settings!$B$11="gross",L13,SUM(B13:D13))*Settings!$B$2,2),0)</f>
        <v>22000</v>
      </c>
      <c r="N13" s="7" t="n">
        <f aca="false">IF(J13="Yes",ROUND(IF(Settings!$B$11="gross",L13,SUM(B13:D13))*Settings!$B$3,2),0)</f>
        <v>27500</v>
      </c>
      <c r="O13" s="7" t="n">
        <f aca="false">IF(K13="Yes",ROUND(IF(Settings!$B$5="gross",L13,B13)*Settings!$B$4,2),0)</f>
        <v>5000</v>
      </c>
      <c r="P13" s="7" t="n">
        <f aca="false">MIN(ROUND(F13*Settings!$B$6,2),Settings!$B$7)</f>
        <v>0</v>
      </c>
      <c r="Q13" s="7" t="n">
        <f aca="false">MAX(0,(L13-M13-O13-G13)*12-P13-I13)</f>
        <v>3876000</v>
      </c>
      <c r="R13" s="7" t="n">
        <f aca="false">MIN(MAX(Q13-800000,0),2200000)*0.15+MIN(MAX(Q13-3000000,0),9000000)*0.18+MIN(MAX(Q13-12000000,0),13000000)*0.21+MIN(MAX(Q13-25000000,0),25000000)*0.23+MAX(Q13-50000000,0)*0.25</f>
        <v>487680</v>
      </c>
      <c r="S13" s="7" t="n">
        <f aca="false">IF(L13&lt;=Settings!$B$8,0,ROUND(R13/12,2))</f>
        <v>40640</v>
      </c>
      <c r="T13" s="7" t="n">
        <f aca="false">SUM(M13,O13,G13,H13,S13)</f>
        <v>67640</v>
      </c>
      <c r="U13" s="7" t="n">
        <f aca="false">L13-T13</f>
        <v>282360</v>
      </c>
      <c r="V13" s="7" t="n">
        <f aca="false">ROUND(L13*Settings!$B$9,2)</f>
        <v>3500</v>
      </c>
      <c r="W13" s="7" t="n">
        <f aca="false">ROUND(L13*Settings!$B$10,2)</f>
        <v>0</v>
      </c>
      <c r="X13" s="7" t="n">
        <v>40640</v>
      </c>
      <c r="Y13" s="7" t="n">
        <v>282360</v>
      </c>
      <c r="Z13" s="7" t="n">
        <f aca="false">S13-X13</f>
        <v>0</v>
      </c>
      <c r="AA13" s="7" t="n">
        <f aca="false">U13-Y13</f>
        <v>0</v>
      </c>
    </row>
    <row r="14" customFormat="false" ht="15" hidden="false" customHeight="false" outlineLevel="0" collapsed="false">
      <c r="A14" s="0" t="s">
        <v>81</v>
      </c>
      <c r="B14" s="5" t="n">
        <v>200000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120000</v>
      </c>
      <c r="J14" s="6" t="s">
        <v>71</v>
      </c>
      <c r="K14" s="6" t="s">
        <v>68</v>
      </c>
      <c r="L14" s="7" t="n">
        <f aca="false">SUM(B14:E14)</f>
        <v>200000</v>
      </c>
      <c r="M14" s="7" t="n">
        <f aca="false">IF(J14="Yes",ROUND(IF(Settings!$B$11="gross",L14,SUM(B14:D14))*Settings!$B$2,2),0)</f>
        <v>16000</v>
      </c>
      <c r="N14" s="7" t="n">
        <f aca="false">IF(J14="Yes",ROUND(IF(Settings!$B$11="gross",L14,SUM(B14:D14))*Settings!$B$3,2),0)</f>
        <v>20000</v>
      </c>
      <c r="O14" s="7" t="n">
        <f aca="false">IF(K14="Yes",ROUND(IF(Settings!$B$5="gross",L14,B14)*Settings!$B$4,2),0)</f>
        <v>0</v>
      </c>
      <c r="P14" s="7" t="n">
        <f aca="false">MIN(ROUND(F14*Settings!$B$6,2),Settings!$B$7)</f>
        <v>0</v>
      </c>
      <c r="Q14" s="7" t="n">
        <f aca="false">MAX(0,(L14-M14-O14-G14)*12-P14-I14)</f>
        <v>2088000</v>
      </c>
      <c r="R14" s="7" t="n">
        <f aca="false">MIN(MAX(Q14-800000,0),2200000)*0.15+MIN(MAX(Q14-3000000,0),9000000)*0.18+MIN(MAX(Q14-12000000,0),13000000)*0.21+MIN(MAX(Q14-25000000,0),25000000)*0.23+MAX(Q14-50000000,0)*0.25</f>
        <v>193200</v>
      </c>
      <c r="S14" s="7" t="n">
        <f aca="false">IF(L14&lt;=Settings!$B$8,0,ROUND(R14/12,2))</f>
        <v>16100</v>
      </c>
      <c r="T14" s="7" t="n">
        <f aca="false">SUM(M14,O14,G14,H14,S14)</f>
        <v>32100</v>
      </c>
      <c r="U14" s="7" t="n">
        <f aca="false">L14-T14</f>
        <v>167900</v>
      </c>
      <c r="V14" s="7" t="n">
        <f aca="false">ROUND(L14*Settings!$B$9,2)</f>
        <v>2000</v>
      </c>
      <c r="W14" s="7" t="n">
        <f aca="false">ROUND(L14*Settings!$B$10,2)</f>
        <v>0</v>
      </c>
      <c r="X14" s="7" t="n">
        <v>16100</v>
      </c>
      <c r="Y14" s="7" t="n">
        <v>167900</v>
      </c>
      <c r="Z14" s="7" t="n">
        <f aca="false">S14-X14</f>
        <v>0</v>
      </c>
      <c r="AA14" s="7" t="n">
        <f aca="false">U14-Y14</f>
        <v>0</v>
      </c>
    </row>
    <row r="15" customFormat="false" ht="15" hidden="false" customHeight="false" outlineLevel="0" collapsed="false">
      <c r="A15" s="0" t="s">
        <v>82</v>
      </c>
      <c r="B15" s="5" t="n">
        <v>123456.78</v>
      </c>
      <c r="C15" s="5" t="n">
        <v>23456.79</v>
      </c>
      <c r="D15" s="5" t="n">
        <v>3456.78</v>
      </c>
      <c r="E15" s="5" t="n">
        <v>0</v>
      </c>
      <c r="F15" s="5" t="n">
        <v>987654.32</v>
      </c>
      <c r="G15" s="5" t="n">
        <v>1234.56</v>
      </c>
      <c r="H15" s="5" t="n">
        <v>111.11</v>
      </c>
      <c r="I15" s="5" t="n">
        <v>0</v>
      </c>
      <c r="J15" s="6" t="s">
        <v>71</v>
      </c>
      <c r="K15" s="6" t="s">
        <v>71</v>
      </c>
      <c r="L15" s="7" t="n">
        <f aca="false">SUM(B15:E15)</f>
        <v>150370.35</v>
      </c>
      <c r="M15" s="7" t="n">
        <f aca="false">IF(J15="Yes",ROUND(IF(Settings!$B$11="gross",L15,SUM(B15:D15))*Settings!$B$2,2),0)</f>
        <v>12029.63</v>
      </c>
      <c r="N15" s="7" t="n">
        <f aca="false">IF(J15="Yes",ROUND(IF(Settings!$B$11="gross",L15,SUM(B15:D15))*Settings!$B$3,2),0)</f>
        <v>15037.04</v>
      </c>
      <c r="O15" s="7" t="n">
        <f aca="false">IF(K15="Yes",ROUND(IF(Settings!$B$5="gross",L15,B15)*Settings!$B$4,2),0)</f>
        <v>3086.42</v>
      </c>
      <c r="P15" s="7" t="n">
        <f aca="false">MIN(ROUND(F15*Settings!$B$6,2),Settings!$B$7)</f>
        <v>197530.86</v>
      </c>
      <c r="Q15" s="7" t="n">
        <f aca="false">MAX(0,(L15-M15-O15-G15)*12-P15-I15)</f>
        <v>1410706.02</v>
      </c>
      <c r="R15" s="7" t="n">
        <f aca="false">MIN(MAX(Q15-800000,0),2200000)*0.15+MIN(MAX(Q15-3000000,0),9000000)*0.18+MIN(MAX(Q15-12000000,0),13000000)*0.21+MIN(MAX(Q15-25000000,0),25000000)*0.23+MAX(Q15-50000000,0)*0.25</f>
        <v>91605.903</v>
      </c>
      <c r="S15" s="7" t="n">
        <f aca="false">IF(L15&lt;=Settings!$B$8,0,ROUND(R15/12,2))</f>
        <v>7633.83</v>
      </c>
      <c r="T15" s="7" t="n">
        <f aca="false">SUM(M15,O15,G15,H15,S15)</f>
        <v>24095.55</v>
      </c>
      <c r="U15" s="7" t="n">
        <f aca="false">L15-T15</f>
        <v>126274.8</v>
      </c>
      <c r="V15" s="7" t="n">
        <f aca="false">ROUND(L15*Settings!$B$9,2)</f>
        <v>1503.7</v>
      </c>
      <c r="W15" s="7" t="n">
        <f aca="false">ROUND(L15*Settings!$B$10,2)</f>
        <v>0</v>
      </c>
      <c r="X15" s="7" t="n">
        <v>7633.83</v>
      </c>
      <c r="Y15" s="7" t="n">
        <v>126274.8</v>
      </c>
      <c r="Z15" s="7" t="n">
        <f aca="false">S15-X15</f>
        <v>0</v>
      </c>
      <c r="AA15" s="7" t="n">
        <f aca="false">U15-Y15</f>
        <v>0</v>
      </c>
    </row>
    <row r="16" customFormat="false" ht="15" hidden="false" customHeight="false" outlineLevel="0" collapsed="false">
      <c r="A16" s="0" t="s">
        <v>83</v>
      </c>
      <c r="B16" s="5" t="n">
        <v>100000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1200000</v>
      </c>
      <c r="J16" s="6" t="s">
        <v>68</v>
      </c>
      <c r="K16" s="6" t="s">
        <v>68</v>
      </c>
      <c r="L16" s="7" t="n">
        <f aca="false">SUM(B16:E16)</f>
        <v>100000</v>
      </c>
      <c r="M16" s="7" t="n">
        <f aca="false">IF(J16="Yes",ROUND(IF(Settings!$B$11="gross",L16,SUM(B16:D16))*Settings!$B$2,2),0)</f>
        <v>0</v>
      </c>
      <c r="N16" s="7" t="n">
        <f aca="false">IF(J16="Yes",ROUND(IF(Settings!$B$11="gross",L16,SUM(B16:D16))*Settings!$B$3,2),0)</f>
        <v>0</v>
      </c>
      <c r="O16" s="7" t="n">
        <f aca="false">IF(K16="Yes",ROUND(IF(Settings!$B$5="gross",L16,B16)*Settings!$B$4,2),0)</f>
        <v>0</v>
      </c>
      <c r="P16" s="7" t="n">
        <f aca="false">MIN(ROUND(F16*Settings!$B$6,2),Settings!$B$7)</f>
        <v>0</v>
      </c>
      <c r="Q16" s="7" t="n">
        <f aca="false">MAX(0,(L16-M16-O16-G16)*12-P16-I16)</f>
        <v>0</v>
      </c>
      <c r="R16" s="7" t="n">
        <f aca="false">MIN(MAX(Q16-800000,0),2200000)*0.15+MIN(MAX(Q16-3000000,0),9000000)*0.18+MIN(MAX(Q16-12000000,0),13000000)*0.21+MIN(MAX(Q16-25000000,0),25000000)*0.23+MAX(Q16-50000000,0)*0.25</f>
        <v>0</v>
      </c>
      <c r="S16" s="7" t="n">
        <f aca="false">IF(L16&lt;=Settings!$B$8,0,ROUND(R16/12,2))</f>
        <v>0</v>
      </c>
      <c r="T16" s="7" t="n">
        <f aca="false">SUM(M16,O16,G16,H16,S16)</f>
        <v>0</v>
      </c>
      <c r="U16" s="7" t="n">
        <f aca="false">L16-T16</f>
        <v>100000</v>
      </c>
      <c r="V16" s="7" t="n">
        <f aca="false">ROUND(L16*Settings!$B$9,2)</f>
        <v>1000</v>
      </c>
      <c r="W16" s="7" t="n">
        <f aca="false">ROUND(L16*Settings!$B$10,2)</f>
        <v>0</v>
      </c>
      <c r="X16" s="7" t="n">
        <v>0</v>
      </c>
      <c r="Y16" s="7" t="n">
        <v>100000</v>
      </c>
      <c r="Z16" s="7" t="n">
        <f aca="false">S16-X16</f>
        <v>0</v>
      </c>
      <c r="AA16" s="7" t="n">
        <f aca="false">U16-Y16</f>
        <v>0</v>
      </c>
    </row>
  </sheetData>
  <autoFilter ref="A1:AA16"/>
  <dataValidations count="1">
    <dataValidation allowBlank="false" errorStyle="stop" operator="between" showDropDown="false" showErrorMessage="false" showInputMessage="false" sqref="J2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24"/>
  </cols>
  <sheetData>
    <row r="1" customFormat="false" ht="37.5" hidden="false" customHeight="true" outlineLevel="0" collapsed="false">
      <c r="A1" s="1" t="s">
        <v>44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</row>
    <row r="2" customFormat="false" ht="15" hidden="false" customHeight="false" outlineLevel="0" collapsed="false">
      <c r="A2" s="0" t="s">
        <v>15</v>
      </c>
      <c r="B2" s="0" t="n">
        <v>70000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70000</v>
      </c>
      <c r="J2" s="0" t="n">
        <v>700</v>
      </c>
      <c r="K2" s="0" t="n">
        <v>0</v>
      </c>
    </row>
    <row r="3" customFormat="false" ht="15" hidden="false" customHeight="false" outlineLevel="0" collapsed="false">
      <c r="A3" s="0" t="s">
        <v>69</v>
      </c>
      <c r="B3" s="0" t="n">
        <v>70000.01</v>
      </c>
      <c r="C3" s="0" t="n">
        <v>500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500</v>
      </c>
      <c r="I3" s="0" t="n">
        <v>69500.01</v>
      </c>
      <c r="J3" s="0" t="n">
        <v>700</v>
      </c>
      <c r="K3" s="0" t="n">
        <v>0</v>
      </c>
    </row>
    <row r="4" customFormat="false" ht="15" hidden="false" customHeight="false" outlineLevel="0" collapsed="false">
      <c r="A4" s="0" t="s">
        <v>70</v>
      </c>
      <c r="B4" s="0" t="n">
        <v>200000</v>
      </c>
      <c r="C4" s="0" t="n">
        <v>17600</v>
      </c>
      <c r="D4" s="0" t="n">
        <v>16000</v>
      </c>
      <c r="E4" s="0" t="n">
        <v>20000</v>
      </c>
      <c r="F4" s="0" t="n">
        <v>0</v>
      </c>
      <c r="G4" s="0" t="n">
        <v>0</v>
      </c>
      <c r="H4" s="0" t="n">
        <v>33600</v>
      </c>
      <c r="I4" s="0" t="n">
        <v>166400</v>
      </c>
      <c r="J4" s="0" t="n">
        <v>2000</v>
      </c>
      <c r="K4" s="0" t="n">
        <v>0</v>
      </c>
    </row>
    <row r="5" customFormat="false" ht="15" hidden="false" customHeight="false" outlineLevel="0" collapsed="false">
      <c r="A5" s="0" t="s">
        <v>72</v>
      </c>
      <c r="B5" s="0" t="n">
        <v>250000</v>
      </c>
      <c r="C5" s="0" t="n">
        <v>27500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27500</v>
      </c>
      <c r="I5" s="0" t="n">
        <v>222500</v>
      </c>
      <c r="J5" s="0" t="n">
        <v>2500</v>
      </c>
      <c r="K5" s="0" t="n">
        <v>0</v>
      </c>
    </row>
    <row r="6" customFormat="false" ht="15" hidden="false" customHeight="false" outlineLevel="0" collapsed="false">
      <c r="A6" s="0" t="s">
        <v>73</v>
      </c>
      <c r="B6" s="0" t="n">
        <v>1000000</v>
      </c>
      <c r="C6" s="0" t="n">
        <v>162500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162500</v>
      </c>
      <c r="I6" s="0" t="n">
        <v>837500</v>
      </c>
      <c r="J6" s="0" t="n">
        <v>10000</v>
      </c>
      <c r="K6" s="0" t="n">
        <v>0</v>
      </c>
    </row>
    <row r="7" customFormat="false" ht="15" hidden="false" customHeight="false" outlineLevel="0" collapsed="false">
      <c r="A7" s="0" t="s">
        <v>74</v>
      </c>
      <c r="B7" s="0" t="n">
        <v>2083333.33</v>
      </c>
      <c r="C7" s="0" t="n">
        <v>390000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390000</v>
      </c>
      <c r="I7" s="0" t="n">
        <v>1693333.33</v>
      </c>
      <c r="J7" s="0" t="n">
        <v>20833.33</v>
      </c>
      <c r="K7" s="0" t="n">
        <v>0</v>
      </c>
    </row>
    <row r="8" customFormat="false" ht="15" hidden="false" customHeight="false" outlineLevel="0" collapsed="false">
      <c r="A8" s="0" t="s">
        <v>75</v>
      </c>
      <c r="B8" s="0" t="n">
        <v>4166666.67</v>
      </c>
      <c r="C8" s="0" t="n">
        <v>869166.67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869166.67</v>
      </c>
      <c r="I8" s="0" t="n">
        <v>3297500</v>
      </c>
      <c r="J8" s="0" t="n">
        <v>41666.67</v>
      </c>
      <c r="K8" s="0" t="n">
        <v>0</v>
      </c>
    </row>
    <row r="9" customFormat="false" ht="15" hidden="false" customHeight="false" outlineLevel="0" collapsed="false">
      <c r="A9" s="0" t="s">
        <v>76</v>
      </c>
      <c r="B9" s="0" t="n">
        <v>5000000</v>
      </c>
      <c r="C9" s="0" t="n">
        <v>1077500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1077500</v>
      </c>
      <c r="I9" s="0" t="n">
        <v>3922500</v>
      </c>
      <c r="J9" s="0" t="n">
        <v>50000</v>
      </c>
      <c r="K9" s="0" t="n">
        <v>0</v>
      </c>
    </row>
    <row r="10" customFormat="false" ht="15" hidden="false" customHeight="false" outlineLevel="0" collapsed="false">
      <c r="A10" s="0" t="s">
        <v>77</v>
      </c>
      <c r="B10" s="0" t="n">
        <v>350000</v>
      </c>
      <c r="C10" s="0" t="n">
        <v>35960</v>
      </c>
      <c r="D10" s="0" t="n">
        <v>28000</v>
      </c>
      <c r="E10" s="0" t="n">
        <v>35000</v>
      </c>
      <c r="F10" s="0" t="n">
        <v>5000</v>
      </c>
      <c r="G10" s="0" t="n">
        <v>0</v>
      </c>
      <c r="H10" s="0" t="n">
        <v>68960</v>
      </c>
      <c r="I10" s="0" t="n">
        <v>281040</v>
      </c>
      <c r="J10" s="0" t="n">
        <v>3500</v>
      </c>
      <c r="K10" s="0" t="n">
        <v>0</v>
      </c>
    </row>
    <row r="11" customFormat="false" ht="15" hidden="false" customHeight="false" outlineLevel="0" collapsed="false">
      <c r="A11" s="0" t="s">
        <v>78</v>
      </c>
      <c r="B11" s="0" t="n">
        <v>350000</v>
      </c>
      <c r="C11" s="0" t="n">
        <v>32960</v>
      </c>
      <c r="D11" s="0" t="n">
        <v>28000</v>
      </c>
      <c r="E11" s="0" t="n">
        <v>35000</v>
      </c>
      <c r="F11" s="0" t="n">
        <v>0</v>
      </c>
      <c r="G11" s="0" t="n">
        <v>0</v>
      </c>
      <c r="H11" s="0" t="n">
        <v>60960</v>
      </c>
      <c r="I11" s="0" t="n">
        <v>289040</v>
      </c>
      <c r="J11" s="0" t="n">
        <v>3500</v>
      </c>
      <c r="K11" s="0" t="n">
        <v>0</v>
      </c>
    </row>
    <row r="12" customFormat="false" ht="15" hidden="false" customHeight="false" outlineLevel="0" collapsed="false">
      <c r="A12" s="0" t="s">
        <v>79</v>
      </c>
      <c r="B12" s="0" t="n">
        <v>250000</v>
      </c>
      <c r="C12" s="0" t="n">
        <v>23000</v>
      </c>
      <c r="D12" s="0" t="n">
        <v>20000</v>
      </c>
      <c r="E12" s="0" t="n">
        <v>25000</v>
      </c>
      <c r="F12" s="0" t="n">
        <v>0</v>
      </c>
      <c r="G12" s="0" t="n">
        <v>10000</v>
      </c>
      <c r="H12" s="0" t="n">
        <v>58000</v>
      </c>
      <c r="I12" s="0" t="n">
        <v>192000</v>
      </c>
      <c r="J12" s="0" t="n">
        <v>2500</v>
      </c>
      <c r="K12" s="0" t="n">
        <v>0</v>
      </c>
    </row>
    <row r="13" customFormat="false" ht="15" hidden="false" customHeight="false" outlineLevel="0" collapsed="false">
      <c r="A13" s="0" t="s">
        <v>80</v>
      </c>
      <c r="B13" s="0" t="n">
        <v>350000</v>
      </c>
      <c r="C13" s="0" t="n">
        <v>40640</v>
      </c>
      <c r="D13" s="0" t="n">
        <v>22000</v>
      </c>
      <c r="E13" s="0" t="n">
        <v>27500</v>
      </c>
      <c r="F13" s="0" t="n">
        <v>5000</v>
      </c>
      <c r="G13" s="0" t="n">
        <v>0</v>
      </c>
      <c r="H13" s="0" t="n">
        <v>67640</v>
      </c>
      <c r="I13" s="0" t="n">
        <v>282360</v>
      </c>
      <c r="J13" s="0" t="n">
        <v>3500</v>
      </c>
      <c r="K13" s="0" t="n">
        <v>0</v>
      </c>
    </row>
    <row r="14" customFormat="false" ht="15" hidden="false" customHeight="false" outlineLevel="0" collapsed="false">
      <c r="A14" s="0" t="s">
        <v>81</v>
      </c>
      <c r="B14" s="0" t="n">
        <v>200000</v>
      </c>
      <c r="C14" s="0" t="n">
        <v>16100</v>
      </c>
      <c r="D14" s="0" t="n">
        <v>16000</v>
      </c>
      <c r="E14" s="0" t="n">
        <v>20000</v>
      </c>
      <c r="F14" s="0" t="n">
        <v>0</v>
      </c>
      <c r="G14" s="0" t="n">
        <v>0</v>
      </c>
      <c r="H14" s="0" t="n">
        <v>32100</v>
      </c>
      <c r="I14" s="0" t="n">
        <v>167900</v>
      </c>
      <c r="J14" s="0" t="n">
        <v>2000</v>
      </c>
      <c r="K14" s="0" t="n">
        <v>0</v>
      </c>
    </row>
    <row r="15" customFormat="false" ht="15" hidden="false" customHeight="false" outlineLevel="0" collapsed="false">
      <c r="A15" s="0" t="s">
        <v>82</v>
      </c>
      <c r="B15" s="0" t="n">
        <v>150370.35</v>
      </c>
      <c r="C15" s="0" t="n">
        <v>7633.83</v>
      </c>
      <c r="D15" s="0" t="n">
        <v>12029.63</v>
      </c>
      <c r="E15" s="0" t="n">
        <v>15037.04</v>
      </c>
      <c r="F15" s="0" t="n">
        <v>3086.42</v>
      </c>
      <c r="G15" s="0" t="n">
        <v>1234.56</v>
      </c>
      <c r="H15" s="0" t="n">
        <v>24095.55</v>
      </c>
      <c r="I15" s="0" t="n">
        <v>126274.8</v>
      </c>
      <c r="J15" s="0" t="n">
        <v>1503.7</v>
      </c>
      <c r="K15" s="0" t="n">
        <v>0</v>
      </c>
    </row>
    <row r="16" customFormat="false" ht="15" hidden="false" customHeight="false" outlineLevel="0" collapsed="false">
      <c r="A16" s="0" t="s">
        <v>83</v>
      </c>
      <c r="B16" s="0" t="n">
        <v>100000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100000</v>
      </c>
      <c r="J16" s="0" t="n">
        <v>1000</v>
      </c>
      <c r="K1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  <col collapsed="false" customWidth="true" hidden="false" outlineLevel="0" max="3" min="3" style="0" width="85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</row>
    <row r="2" customFormat="false" ht="15" hidden="false" customHeight="false" outlineLevel="0" collapsed="false">
      <c r="A2" s="2" t="s">
        <v>97</v>
      </c>
      <c r="B2" s="8" t="s">
        <v>98</v>
      </c>
      <c r="C2" s="2" t="s">
        <v>99</v>
      </c>
    </row>
    <row r="3" customFormat="false" ht="15" hidden="false" customHeight="false" outlineLevel="0" collapsed="false">
      <c r="A3" s="2" t="s">
        <v>100</v>
      </c>
      <c r="B3" s="8" t="s">
        <v>101</v>
      </c>
      <c r="C3" s="2" t="s">
        <v>102</v>
      </c>
    </row>
    <row r="4" customFormat="false" ht="15" hidden="false" customHeight="false" outlineLevel="0" collapsed="false">
      <c r="A4" s="2" t="s">
        <v>103</v>
      </c>
      <c r="B4" s="8" t="s">
        <v>104</v>
      </c>
      <c r="C4" s="2" t="s">
        <v>105</v>
      </c>
    </row>
    <row r="5" customFormat="false" ht="15" hidden="false" customHeight="false" outlineLevel="0" collapsed="false">
      <c r="A5" s="2" t="s">
        <v>106</v>
      </c>
      <c r="B5" s="8" t="s">
        <v>107</v>
      </c>
      <c r="C5" s="2" t="s">
        <v>108</v>
      </c>
    </row>
    <row r="6" customFormat="false" ht="15" hidden="false" customHeight="false" outlineLevel="0" collapsed="false">
      <c r="A6" s="2" t="s">
        <v>109</v>
      </c>
      <c r="B6" s="8" t="s">
        <v>110</v>
      </c>
      <c r="C6" s="2" t="s">
        <v>111</v>
      </c>
    </row>
    <row r="7" customFormat="false" ht="15" hidden="false" customHeight="false" outlineLevel="0" collapsed="false">
      <c r="A7" s="2" t="s">
        <v>112</v>
      </c>
      <c r="B7" s="8" t="s">
        <v>113</v>
      </c>
      <c r="C7" s="2" t="s">
        <v>114</v>
      </c>
    </row>
    <row r="8" customFormat="false" ht="15" hidden="false" customHeight="false" outlineLevel="0" collapsed="false">
      <c r="A8" s="2" t="s">
        <v>115</v>
      </c>
      <c r="B8" s="8" t="s">
        <v>116</v>
      </c>
      <c r="C8" s="2" t="s">
        <v>117</v>
      </c>
    </row>
    <row r="9" customFormat="false" ht="15" hidden="false" customHeight="false" outlineLevel="0" collapsed="false">
      <c r="A9" s="2" t="s">
        <v>118</v>
      </c>
      <c r="B9" s="8" t="s">
        <v>119</v>
      </c>
      <c r="C9" s="2" t="s">
        <v>120</v>
      </c>
    </row>
  </sheetData>
  <hyperlinks>
    <hyperlink ref="B2" r:id="rId1" display="https://www.nrs.gov.ng/uploads/NIGERIA_TAX_ACT_2025_ef6bb812a5.pdf"/>
    <hyperlink ref="B3" r:id="rId2" display="https://www.nrs.gov.ng/tax-laws/page"/>
    <hyperlink ref="B4" r:id="rId3" display="https://www.psirs.gov.ng/tax-calculator"/>
    <hyperlink ref="B5" r:id="rId4" display="https://www.pencom.gov.ng/wp-content/uploads/2023/09/FREQUENTLY-ASKED-QUESTIONS-2023.pdf"/>
    <hyperlink ref="B6" r:id="rId5" display="https://fmbn.gov.ng/products/nhf-scheme/faqs"/>
    <hyperlink ref="B7" r:id="rId6" display="https://www.fmbn.gov.ng/documents/FMBN_SERVICOM_CHARTER.pdf"/>
    <hyperlink ref="B8" r:id="rId7" display="https://nsitf.gov.ng/services"/>
    <hyperlink ref="B9" r:id="rId8" display="https://www.itf.gov.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5" min="2" style="0" width="23"/>
  </cols>
  <sheetData>
    <row r="1" customFormat="false" ht="45" hidden="false" customHeight="true" outlineLevel="0" collapsed="false">
      <c r="A1" s="1" t="s">
        <v>44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53</v>
      </c>
      <c r="O1" s="1" t="s">
        <v>54</v>
      </c>
      <c r="P1" s="1" t="s">
        <v>55</v>
      </c>
      <c r="Q1" s="1" t="s">
        <v>33</v>
      </c>
      <c r="R1" s="1" t="s">
        <v>34</v>
      </c>
      <c r="S1" s="1" t="s">
        <v>11</v>
      </c>
      <c r="T1" s="1" t="s">
        <v>60</v>
      </c>
      <c r="U1" s="1" t="s">
        <v>133</v>
      </c>
      <c r="V1" s="1" t="s">
        <v>62</v>
      </c>
      <c r="W1" s="1" t="s">
        <v>63</v>
      </c>
      <c r="X1" s="1" t="s">
        <v>65</v>
      </c>
      <c r="Y1" s="1" t="s">
        <v>67</v>
      </c>
    </row>
    <row r="2" customFormat="false" ht="15" hidden="false" customHeight="false" outlineLevel="0" collapsed="false">
      <c r="A2" s="0" t="s">
        <v>134</v>
      </c>
      <c r="B2" s="6" t="n">
        <v>31</v>
      </c>
      <c r="C2" s="6" t="n">
        <v>16</v>
      </c>
      <c r="D2" s="9" t="n">
        <v>310000</v>
      </c>
      <c r="E2" s="9" t="n">
        <v>0</v>
      </c>
      <c r="F2" s="9" t="n">
        <v>0</v>
      </c>
      <c r="G2" s="9" t="n">
        <v>0</v>
      </c>
      <c r="H2" s="9" t="n">
        <v>50000</v>
      </c>
      <c r="I2" s="9" t="n">
        <v>0</v>
      </c>
      <c r="J2" s="9" t="n">
        <v>12000</v>
      </c>
      <c r="K2" s="9" t="n">
        <v>0</v>
      </c>
      <c r="L2" s="9" t="n">
        <v>0</v>
      </c>
      <c r="M2" s="9" t="n">
        <v>5000</v>
      </c>
      <c r="N2" s="6" t="s">
        <v>68</v>
      </c>
      <c r="O2" s="6" t="s">
        <v>68</v>
      </c>
      <c r="P2" s="4" t="n">
        <f aca="false">ROUND(D2*C2/B2,2)+ROUND(E2*C2/B2,2)+ROUND(F2*C2/B2,2)+ROUND(G2*C2/B2,2)+H2</f>
        <v>210000</v>
      </c>
      <c r="Q2" s="4" t="n">
        <f aca="false">IF(N2="Yes",ROUND(IF(Settings!$B$11="gross",P2,ROUND(D2*C2/B2,2)+ROUND(E2*C2/B2,2)+ROUND(F2*C2/B2,2)+I2)*Settings!$B$2,2),0)</f>
        <v>0</v>
      </c>
      <c r="R2" s="4" t="n">
        <f aca="false">IF(N2="Yes",ROUND(IF(Settings!$B$11="gross",P2,ROUND(D2*C2/B2,2)+ROUND(E2*C2/B2,2)+ROUND(F2*C2/B2,2)+I2)*Settings!$B$3,2),0)</f>
        <v>0</v>
      </c>
      <c r="S2" s="4" t="n">
        <f aca="false">IF(O2="Yes",ROUND(IF(Settings!$B$5="gross",P2,ROUND(D2*C2/B2,2))*Settings!$B$4,2),0)</f>
        <v>0</v>
      </c>
      <c r="T2" s="4" t="n">
        <f aca="false">SUM(J2:M2)+Q2+S2</f>
        <v>17000</v>
      </c>
      <c r="U2" s="4" t="n">
        <f aca="false">P2-T2</f>
        <v>193000</v>
      </c>
      <c r="V2" s="4" t="n">
        <f aca="false">ROUND(P2*Settings!$B$9,2)</f>
        <v>2100</v>
      </c>
      <c r="W2" s="4" t="n">
        <f aca="false">ROUND(P2*Settings!$B$10,2)</f>
        <v>0</v>
      </c>
      <c r="X2" s="4" t="n">
        <v>193000</v>
      </c>
      <c r="Y2" s="4" t="n">
        <f aca="false">U2-X2</f>
        <v>0</v>
      </c>
    </row>
    <row r="3" customFormat="false" ht="15" hidden="false" customHeight="false" outlineLevel="0" collapsed="false">
      <c r="A3" s="0" t="s">
        <v>135</v>
      </c>
      <c r="B3" s="6" t="n">
        <v>31</v>
      </c>
      <c r="C3" s="6" t="n">
        <v>16</v>
      </c>
      <c r="D3" s="9" t="n">
        <v>310000</v>
      </c>
      <c r="E3" s="9" t="n">
        <v>0</v>
      </c>
      <c r="F3" s="9" t="n">
        <v>0</v>
      </c>
      <c r="G3" s="9" t="n">
        <v>0</v>
      </c>
      <c r="H3" s="9" t="n">
        <v>50000</v>
      </c>
      <c r="I3" s="9" t="n">
        <v>20000</v>
      </c>
      <c r="J3" s="9" t="n">
        <v>8000</v>
      </c>
      <c r="K3" s="9" t="n">
        <v>0</v>
      </c>
      <c r="L3" s="9" t="n">
        <v>0</v>
      </c>
      <c r="M3" s="9" t="n">
        <v>5000</v>
      </c>
      <c r="N3" s="6" t="s">
        <v>71</v>
      </c>
      <c r="O3" s="6" t="s">
        <v>71</v>
      </c>
      <c r="P3" s="4" t="n">
        <f aca="false">ROUND(D3*C3/B3,2)+ROUND(E3*C3/B3,2)+ROUND(F3*C3/B3,2)+ROUND(G3*C3/B3,2)+H3</f>
        <v>210000</v>
      </c>
      <c r="Q3" s="4" t="n">
        <f aca="false">IF(N3="Yes",ROUND(IF(Settings!$B$11="gross",P3,ROUND(D3*C3/B3,2)+ROUND(E3*C3/B3,2)+ROUND(F3*C3/B3,2)+I3)*Settings!$B$2,2),0)</f>
        <v>14400</v>
      </c>
      <c r="R3" s="4" t="n">
        <f aca="false">IF(N3="Yes",ROUND(IF(Settings!$B$11="gross",P3,ROUND(D3*C3/B3,2)+ROUND(E3*C3/B3,2)+ROUND(F3*C3/B3,2)+I3)*Settings!$B$3,2),0)</f>
        <v>18000</v>
      </c>
      <c r="S3" s="4" t="n">
        <f aca="false">IF(O3="Yes",ROUND(IF(Settings!$B$5="gross",P3,ROUND(D3*C3/B3,2))*Settings!$B$4,2),0)</f>
        <v>4000</v>
      </c>
      <c r="T3" s="4" t="n">
        <f aca="false">SUM(J3:M3)+Q3+S3</f>
        <v>31400</v>
      </c>
      <c r="U3" s="4" t="n">
        <f aca="false">P3-T3</f>
        <v>178600</v>
      </c>
      <c r="V3" s="4" t="n">
        <f aca="false">ROUND(P3*Settings!$B$9,2)</f>
        <v>2100</v>
      </c>
      <c r="W3" s="4" t="n">
        <f aca="false">ROUND(P3*Settings!$B$10,2)</f>
        <v>0</v>
      </c>
      <c r="X3" s="4" t="n">
        <v>178600</v>
      </c>
      <c r="Y3" s="4" t="n">
        <f aca="false">U3-X3</f>
        <v>0</v>
      </c>
    </row>
    <row r="4" customFormat="false" ht="15" hidden="false" customHeight="false" outlineLevel="0" collapsed="false">
      <c r="A4" s="0" t="s">
        <v>136</v>
      </c>
      <c r="B4" s="6" t="n">
        <v>28</v>
      </c>
      <c r="C4" s="6" t="n">
        <v>14</v>
      </c>
      <c r="D4" s="9" t="n">
        <v>200000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3000</v>
      </c>
      <c r="K4" s="9" t="n">
        <v>0</v>
      </c>
      <c r="L4" s="9" t="n">
        <v>0</v>
      </c>
      <c r="M4" s="9" t="n">
        <v>0</v>
      </c>
      <c r="N4" s="6" t="s">
        <v>71</v>
      </c>
      <c r="O4" s="6" t="s">
        <v>68</v>
      </c>
      <c r="P4" s="4" t="n">
        <f aca="false">ROUND(D4*C4/B4,2)+ROUND(E4*C4/B4,2)+ROUND(F4*C4/B4,2)+ROUND(G4*C4/B4,2)+H4</f>
        <v>100000</v>
      </c>
      <c r="Q4" s="4" t="n">
        <f aca="false">IF(N4="Yes",ROUND(IF(Settings!$B$11="gross",P4,ROUND(D4*C4/B4,2)+ROUND(E4*C4/B4,2)+ROUND(F4*C4/B4,2)+I4)*Settings!$B$2,2),0)</f>
        <v>8000</v>
      </c>
      <c r="R4" s="4" t="n">
        <f aca="false">IF(N4="Yes",ROUND(IF(Settings!$B$11="gross",P4,ROUND(D4*C4/B4,2)+ROUND(E4*C4/B4,2)+ROUND(F4*C4/B4,2)+I4)*Settings!$B$3,2),0)</f>
        <v>10000</v>
      </c>
      <c r="S4" s="4" t="n">
        <f aca="false">IF(O4="Yes",ROUND(IF(Settings!$B$5="gross",P4,ROUND(D4*C4/B4,2))*Settings!$B$4,2),0)</f>
        <v>0</v>
      </c>
      <c r="T4" s="4" t="n">
        <f aca="false">SUM(J4:M4)+Q4+S4</f>
        <v>11000</v>
      </c>
      <c r="U4" s="4" t="n">
        <f aca="false">P4-T4</f>
        <v>89000</v>
      </c>
      <c r="V4" s="4" t="n">
        <f aca="false">ROUND(P4*Settings!$B$9,2)</f>
        <v>1000</v>
      </c>
      <c r="W4" s="4" t="n">
        <f aca="false">ROUND(P4*Settings!$B$10,2)</f>
        <v>0</v>
      </c>
      <c r="X4" s="4" t="n">
        <v>89000</v>
      </c>
      <c r="Y4" s="4" t="n">
        <f aca="false">U4-X4</f>
        <v>0</v>
      </c>
    </row>
    <row r="5" customFormat="false" ht="15" hidden="false" customHeight="false" outlineLevel="0" collapsed="false">
      <c r="A5" s="0" t="s">
        <v>137</v>
      </c>
      <c r="B5" s="6" t="n">
        <v>31</v>
      </c>
      <c r="C5" s="6" t="n">
        <v>31</v>
      </c>
      <c r="D5" s="9" t="n">
        <v>200000</v>
      </c>
      <c r="E5" s="9" t="n">
        <v>0</v>
      </c>
      <c r="F5" s="9" t="n">
        <v>0</v>
      </c>
      <c r="G5" s="9" t="n">
        <v>0</v>
      </c>
      <c r="H5" s="9" t="n">
        <v>100000</v>
      </c>
      <c r="I5" s="9" t="n">
        <v>100000</v>
      </c>
      <c r="J5" s="9" t="n">
        <v>25000</v>
      </c>
      <c r="K5" s="9" t="n">
        <v>0</v>
      </c>
      <c r="L5" s="9" t="n">
        <v>0</v>
      </c>
      <c r="M5" s="9" t="n">
        <v>0</v>
      </c>
      <c r="N5" s="6" t="s">
        <v>71</v>
      </c>
      <c r="O5" s="6" t="s">
        <v>68</v>
      </c>
      <c r="P5" s="4" t="n">
        <f aca="false">ROUND(D5*C5/B5,2)+ROUND(E5*C5/B5,2)+ROUND(F5*C5/B5,2)+ROUND(G5*C5/B5,2)+H5</f>
        <v>300000</v>
      </c>
      <c r="Q5" s="4" t="n">
        <f aca="false">IF(N5="Yes",ROUND(IF(Settings!$B$11="gross",P5,ROUND(D5*C5/B5,2)+ROUND(E5*C5/B5,2)+ROUND(F5*C5/B5,2)+I5)*Settings!$B$2,2),0)</f>
        <v>24000</v>
      </c>
      <c r="R5" s="4" t="n">
        <f aca="false">IF(N5="Yes",ROUND(IF(Settings!$B$11="gross",P5,ROUND(D5*C5/B5,2)+ROUND(E5*C5/B5,2)+ROUND(F5*C5/B5,2)+I5)*Settings!$B$3,2),0)</f>
        <v>30000</v>
      </c>
      <c r="S5" s="4" t="n">
        <f aca="false">IF(O5="Yes",ROUND(IF(Settings!$B$5="gross",P5,ROUND(D5*C5/B5,2))*Settings!$B$4,2),0)</f>
        <v>0</v>
      </c>
      <c r="T5" s="4" t="n">
        <f aca="false">SUM(J5:M5)+Q5+S5</f>
        <v>49000</v>
      </c>
      <c r="U5" s="4" t="n">
        <f aca="false">P5-T5</f>
        <v>251000</v>
      </c>
      <c r="V5" s="4" t="n">
        <f aca="false">ROUND(P5*Settings!$B$9,2)</f>
        <v>3000</v>
      </c>
      <c r="W5" s="4" t="n">
        <f aca="false">ROUND(P5*Settings!$B$10,2)</f>
        <v>0</v>
      </c>
      <c r="X5" s="4" t="n">
        <v>251000</v>
      </c>
      <c r="Y5" s="4" t="n">
        <f aca="false">U5-X5</f>
        <v>0</v>
      </c>
    </row>
    <row r="6" customFormat="false" ht="15" hidden="false" customHeight="false" outlineLevel="0" collapsed="false">
      <c r="A6" s="0" t="s">
        <v>138</v>
      </c>
      <c r="B6" s="6" t="n">
        <v>31</v>
      </c>
      <c r="C6" s="6" t="n">
        <v>1</v>
      </c>
      <c r="D6" s="9" t="n">
        <v>70000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6" t="s">
        <v>68</v>
      </c>
      <c r="O6" s="6" t="s">
        <v>68</v>
      </c>
      <c r="P6" s="4" t="n">
        <f aca="false">ROUND(D6*C6/B6,2)+ROUND(E6*C6/B6,2)+ROUND(F6*C6/B6,2)+ROUND(G6*C6/B6,2)+H6</f>
        <v>2258.06</v>
      </c>
      <c r="Q6" s="4" t="n">
        <f aca="false">IF(N6="Yes",ROUND(IF(Settings!$B$11="gross",P6,ROUND(D6*C6/B6,2)+ROUND(E6*C6/B6,2)+ROUND(F6*C6/B6,2)+I6)*Settings!$B$2,2),0)</f>
        <v>0</v>
      </c>
      <c r="R6" s="4" t="n">
        <f aca="false">IF(N6="Yes",ROUND(IF(Settings!$B$11="gross",P6,ROUND(D6*C6/B6,2)+ROUND(E6*C6/B6,2)+ROUND(F6*C6/B6,2)+I6)*Settings!$B$3,2),0)</f>
        <v>0</v>
      </c>
      <c r="S6" s="4" t="n">
        <f aca="false">IF(O6="Yes",ROUND(IF(Settings!$B$5="gross",P6,ROUND(D6*C6/B6,2))*Settings!$B$4,2),0)</f>
        <v>0</v>
      </c>
      <c r="T6" s="4" t="n">
        <f aca="false">SUM(J6:M6)+Q6+S6</f>
        <v>0</v>
      </c>
      <c r="U6" s="4" t="n">
        <f aca="false">P6-T6</f>
        <v>2258.06</v>
      </c>
      <c r="V6" s="4" t="n">
        <f aca="false">ROUND(P6*Settings!$B$9,2)</f>
        <v>22.58</v>
      </c>
      <c r="W6" s="4" t="n">
        <f aca="false">ROUND(P6*Settings!$B$10,2)</f>
        <v>0</v>
      </c>
      <c r="X6" s="4" t="n">
        <v>2258.06</v>
      </c>
      <c r="Y6" s="4" t="n">
        <f aca="false">U6-X6</f>
        <v>0</v>
      </c>
    </row>
    <row r="7" customFormat="false" ht="15" hidden="false" customHeight="false" outlineLevel="0" collapsed="false">
      <c r="A7" s="0" t="s">
        <v>139</v>
      </c>
      <c r="B7" s="6" t="n">
        <v>31</v>
      </c>
      <c r="C7" s="6" t="n">
        <v>15</v>
      </c>
      <c r="D7" s="9" t="n">
        <v>123456.78</v>
      </c>
      <c r="E7" s="9" t="n">
        <v>23456.79</v>
      </c>
      <c r="F7" s="9" t="n">
        <v>3456.78</v>
      </c>
      <c r="G7" s="9" t="n">
        <v>111.11</v>
      </c>
      <c r="H7" s="9" t="n">
        <v>500.01</v>
      </c>
      <c r="I7" s="9" t="n">
        <v>100.01</v>
      </c>
      <c r="J7" s="9" t="n">
        <v>1500.01</v>
      </c>
      <c r="K7" s="9" t="n">
        <v>123.45</v>
      </c>
      <c r="L7" s="9" t="n">
        <v>11.11</v>
      </c>
      <c r="M7" s="9" t="n">
        <v>2.22</v>
      </c>
      <c r="N7" s="6" t="s">
        <v>71</v>
      </c>
      <c r="O7" s="6" t="s">
        <v>71</v>
      </c>
      <c r="P7" s="4" t="n">
        <f aca="false">ROUND(D7*C7/B7,2)+ROUND(E7*C7/B7,2)+ROUND(F7*C7/B7,2)+ROUND(G7*C7/B7,2)+H7</f>
        <v>73313.62</v>
      </c>
      <c r="Q7" s="4" t="n">
        <f aca="false">IF(N7="Yes",ROUND(IF(Settings!$B$11="gross",P7,ROUND(D7*C7/B7,2)+ROUND(E7*C7/B7,2)+ROUND(F7*C7/B7,2)+I7)*Settings!$B$2,2),0)</f>
        <v>5828.79</v>
      </c>
      <c r="R7" s="4" t="n">
        <f aca="false">IF(N7="Yes",ROUND(IF(Settings!$B$11="gross",P7,ROUND(D7*C7/B7,2)+ROUND(E7*C7/B7,2)+ROUND(F7*C7/B7,2)+I7)*Settings!$B$3,2),0)</f>
        <v>7285.99</v>
      </c>
      <c r="S7" s="4" t="n">
        <f aca="false">IF(O7="Yes",ROUND(IF(Settings!$B$5="gross",P7,ROUND(D7*C7/B7,2))*Settings!$B$4,2),0)</f>
        <v>1493.43</v>
      </c>
      <c r="T7" s="4" t="n">
        <f aca="false">SUM(J7:M7)+Q7+S7</f>
        <v>8959.01</v>
      </c>
      <c r="U7" s="4" t="n">
        <f aca="false">P7-T7</f>
        <v>64354.61</v>
      </c>
      <c r="V7" s="4" t="n">
        <f aca="false">ROUND(P7*Settings!$B$9,2)</f>
        <v>733.14</v>
      </c>
      <c r="W7" s="4" t="n">
        <f aca="false">ROUND(P7*Settings!$B$10,2)</f>
        <v>0</v>
      </c>
      <c r="X7" s="4" t="n">
        <v>64354.61</v>
      </c>
      <c r="Y7" s="4" t="n">
        <f aca="false">U7-X7</f>
        <v>0</v>
      </c>
    </row>
  </sheetData>
  <autoFilter ref="A1:Y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2026-10-16T14:55:35Z</dcterms:created>
  <dc:creator>openpyxl</dc:creator>
  <dc:description/>
  <dc:language>en-US</dc:language>
  <cp:lastModifiedBy/>
  <dcterms:modified xsi:type="dcterms:W3CDTF">2026-10-16T14:55:35Z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